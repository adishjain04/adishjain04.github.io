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1.xml" ContentType="application/vnd.openxmlformats-officedocument.spreadsheetml.worksheet+xml"/>
  <Override PartName="/xl/charts/colors2.xml" ContentType="application/vnd.ms-office.chartcolorstyle+xml"/>
  <Override PartName="/xl/charts/style2.xml" ContentType="application/vnd.ms-office.chartstyle+xml"/>
  <Override PartName="/xl/drawings/drawing3.xml" ContentType="application/vnd.openxmlformats-officedocument.drawing+xml"/>
  <Override PartName="/xl/charts/chart2.xml" ContentType="application/vnd.openxmlformats-officedocument.drawingml.char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worksheets/sheet5.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311" codeName="{00000000-0000-0000-0000-000000000000}"/>
  <workbookPr codeName="ThisWorkbook"/>
  <mc:AlternateContent xmlns:mc="http://schemas.openxmlformats.org/markup-compatibility/2006">
    <mc:Choice Requires="x15">
      <x15ac:absPath xmlns:x15ac="http://schemas.microsoft.com/office/spreadsheetml/2010/11/ac" url="C:\Users\Adish\OneDrive\"/>
    </mc:Choice>
  </mc:AlternateContent>
  <xr:revisionPtr revIDLastSave="2" documentId="E118B5A260BF8167C65A8108623C0EAB9363AE1C" xr6:coauthVersionLast="20" xr6:coauthVersionMax="20" xr10:uidLastSave="{B3A42863-44C8-4289-8EC8-71A36C5D516F}"/>
  <bookViews>
    <workbookView xWindow="0" yWindow="0" windowWidth="9216" windowHeight="5652" tabRatio="578" firstSheet="4" activeTab="4" xr2:uid="{00000000-000D-0000-FFFF-FFFF00000000}"/>
  </bookViews>
  <sheets>
    <sheet name="COVER" sheetId="3" r:id="rId1"/>
    <sheet name="HYPOTHESIS" sheetId="1" r:id="rId2"/>
    <sheet name="CHI-SQUARE" sheetId="4" r:id="rId3"/>
    <sheet name="PORTFOLIO" sheetId="2" r:id="rId4"/>
    <sheet name="CONCLUSION" sheetId="5" r:id="rId5"/>
  </sheets>
  <definedNames>
    <definedName name="solver_adj" localSheetId="3" hidden="1">PORTFOLIO!$J$17:$J$116</definedName>
    <definedName name="solver_eng" localSheetId="3" hidden="1">1</definedName>
    <definedName name="solver_itr" localSheetId="3" hidden="1">2147483647</definedName>
    <definedName name="solver_neg" localSheetId="3" hidden="1">1</definedName>
    <definedName name="solver_num" localSheetId="3" hidden="1">0</definedName>
    <definedName name="solver_opt" localSheetId="3" hidden="1">PORTFOLIO!$K$11</definedName>
    <definedName name="solver_tim" localSheetId="3" hidden="1">2147483647</definedName>
    <definedName name="solver_typ" localSheetId="3" hidden="1">1</definedName>
    <definedName name="solver_val" localSheetId="3" hidden="1">0</definedName>
    <definedName name="solver_ver" localSheetId="3" hidden="1">3</definedName>
  </definedNames>
  <calcPr calcId="171026"/>
</workbook>
</file>

<file path=xl/calcChain.xml><?xml version="1.0" encoding="utf-8"?>
<calcChain xmlns="http://schemas.openxmlformats.org/spreadsheetml/2006/main">
  <c r="D7" i="1" l="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K9" i="1"/>
  <c r="K8" i="1"/>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8" i="4"/>
  <c r="D6" i="4"/>
  <c r="D7" i="4"/>
  <c r="D8" i="4"/>
  <c r="D9" i="4"/>
  <c r="D10" i="4"/>
  <c r="D11" i="4"/>
  <c r="D12" i="4"/>
  <c r="D13" i="4"/>
  <c r="D14" i="4"/>
  <c r="D15" i="4"/>
  <c r="D16" i="4"/>
  <c r="D17" i="4"/>
  <c r="D18" i="4"/>
  <c r="D19" i="4"/>
  <c r="D20" i="4"/>
  <c r="D21" i="4"/>
  <c r="D22" i="4"/>
  <c r="D23" i="4"/>
  <c r="D24" i="4"/>
  <c r="D25" i="4"/>
  <c r="D26" i="4"/>
  <c r="D27" i="4"/>
  <c r="C33" i="4"/>
  <c r="C34" i="4"/>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6" i="1"/>
  <c r="D256" i="1"/>
  <c r="P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7" i="2"/>
  <c r="H12" i="2"/>
  <c r="H20" i="2"/>
  <c r="H21" i="2"/>
  <c r="H22" i="2"/>
  <c r="H23" i="2"/>
  <c r="H24" i="2"/>
  <c r="H25" i="2"/>
  <c r="H26" i="2"/>
  <c r="H102" i="2"/>
  <c r="H103" i="2"/>
  <c r="H104" i="2"/>
  <c r="H105" i="2"/>
  <c r="H160" i="2"/>
  <c r="H161" i="2"/>
  <c r="H8" i="2"/>
  <c r="H9" i="2"/>
  <c r="H10" i="2"/>
  <c r="H11" i="2"/>
  <c r="H13" i="2"/>
  <c r="H14" i="2"/>
  <c r="H15" i="2"/>
  <c r="H16" i="2"/>
  <c r="H17" i="2"/>
  <c r="H18" i="2"/>
  <c r="H19"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L7" i="2"/>
  <c r="H7" i="2"/>
  <c r="F3" i="2"/>
  <c r="D252" i="2"/>
  <c r="H252" i="2"/>
  <c r="M11" i="2"/>
  <c r="L16" i="2"/>
  <c r="H251" i="2"/>
  <c r="N7" i="2"/>
  <c r="D251" i="2"/>
  <c r="M7" i="2"/>
  <c r="K11" i="2"/>
  <c r="K16" i="2"/>
  <c r="D253" i="1"/>
  <c r="K13" i="1"/>
  <c r="D254" i="1"/>
  <c r="K12" i="1"/>
  <c r="H254" i="1"/>
  <c r="H253" i="1"/>
  <c r="H255" i="1"/>
  <c r="D255" i="1"/>
  <c r="K21" i="1"/>
  <c r="K14" i="1"/>
  <c r="B262" i="1"/>
  <c r="K16" i="1"/>
  <c r="K20" i="1"/>
  <c r="K18" i="1"/>
  <c r="K17" i="1"/>
  <c r="K15" i="1"/>
  <c r="K19" i="1"/>
</calcChain>
</file>

<file path=xl/sharedStrings.xml><?xml version="1.0" encoding="utf-8"?>
<sst xmlns="http://schemas.openxmlformats.org/spreadsheetml/2006/main" count="125" uniqueCount="103">
  <si>
    <t>This report has been created solely by ADISH JAIN (B.COM,CFA LEVEL 2 CANDIDATE)</t>
  </si>
  <si>
    <t>STUDING THE IMPLICATIONS OF HEDGING INVESTMENTS IN NIFTY50 USING INDIA VIX FUTURE CONTRACTS.</t>
  </si>
  <si>
    <t>INTRODUCTION</t>
  </si>
  <si>
    <t>the sole purpose of this research report is to represent the fact that the author is skilled in successfully Creating research reports related to financial markets investing and portfolio optimization while successfully implementing descriptive and inferential statistics in ms excel using advances excel skills including vba.</t>
  </si>
  <si>
    <t>ASSUMPTIONS</t>
  </si>
  <si>
    <t>1.NIFTY 50 IS VOLATILE AND THUS INCREASES THE VALUE AT RISK</t>
  </si>
  <si>
    <t>2.RISK ASSOCIATED WITH INVESTMENTS IN NIFTY50 ARE SUBJECT TO A SIGNIFICANT AMOUNT OF RISK</t>
  </si>
  <si>
    <t>3.INDIAVIX FUTURES CAN BE USED TO REDUCE PORTFOLIO RISK WHILE INCREASING RETURNS</t>
  </si>
  <si>
    <t>TECHNIQUES USED TO PROVE OUR ASSUMPTIONS</t>
  </si>
  <si>
    <t>1.CONDUCTED Z AND P VALUE TESTS TO PROVE THAT NIFTY 50 IS VOLATILE</t>
  </si>
  <si>
    <t>2.CONDUCTED CHI SQUARE TEST TO PROVE THE SIGNIFICANCE OF RISK ASSOCIATED IN NIFTY50</t>
  </si>
  <si>
    <t>3.CREATED A DATA TABLE AND AN INTERACTIVE CHART TO REPRESENT THE EFFICIENT PORTFOLIOS</t>
  </si>
  <si>
    <t>CONCLUSION</t>
  </si>
  <si>
    <t>DECLARATION</t>
  </si>
  <si>
    <t>THE ONLY SOURCE OF DATA IS NSEINDIA.COM FOR HISTORICAL DATA.</t>
  </si>
  <si>
    <t>ALL OTHER CALCULATIONS AND METHODS ARE SOLELY APPLIED BY THE AUTHOR BY HIS OWN DISCRETION.</t>
  </si>
  <si>
    <t>This report has been solely created by ADISH JAIN (B.COM,CFA LEVEL 2 CANDIDATE)</t>
  </si>
  <si>
    <t>HYPOTHETICAL TEST FOR NIFTY AND VIX USING "Z" VALUE AND "P" VALUE</t>
  </si>
  <si>
    <t>nifty 50</t>
  </si>
  <si>
    <t>india volatility index</t>
  </si>
  <si>
    <t>Date</t>
  </si>
  <si>
    <t>Open</t>
  </si>
  <si>
    <t>Close</t>
  </si>
  <si>
    <t>average</t>
  </si>
  <si>
    <t xml:space="preserve">Open </t>
  </si>
  <si>
    <t xml:space="preserve">Close </t>
  </si>
  <si>
    <t>checking the DISTRIBUTION TYPE</t>
  </si>
  <si>
    <t>min</t>
  </si>
  <si>
    <t>max</t>
  </si>
  <si>
    <t>RANGE</t>
  </si>
  <si>
    <t>FREQUENCY</t>
  </si>
  <si>
    <t>so we can say that it slightly negatively skewed but more or less a normal distribution</t>
  </si>
  <si>
    <t>mean</t>
  </si>
  <si>
    <t>std dev.</t>
  </si>
  <si>
    <t>NOTE</t>
  </si>
  <si>
    <t>coff of var.</t>
  </si>
  <si>
    <t xml:space="preserve">since we want conclude our research using the recent trend only, </t>
  </si>
  <si>
    <t>variance</t>
  </si>
  <si>
    <t>we are taking the data for last year as a population not sample.</t>
  </si>
  <si>
    <t>z value test</t>
  </si>
  <si>
    <t>now hypothesis to prove nifty and vix are not stationery</t>
  </si>
  <si>
    <t>since n&gt;30  we are using z distribution table</t>
  </si>
  <si>
    <t>null hypothesis</t>
  </si>
  <si>
    <t>No=nifty 50 is stationary</t>
  </si>
  <si>
    <t>LEVEL OF SIGNIFICANCE =15%</t>
  </si>
  <si>
    <t>alternative hypothesis</t>
  </si>
  <si>
    <t>Nu=nifty50  is not stationary</t>
  </si>
  <si>
    <t>TWO TAILED TEST</t>
  </si>
  <si>
    <t>Z statistic</t>
  </si>
  <si>
    <t>critical value=+/-1.44</t>
  </si>
  <si>
    <t>(USING 8943 AS THE OBSERVATION)</t>
  </si>
  <si>
    <t>SO AT 1.67 Z VALUE IT IS OUTSIDE THE PERMITTED RANGE OF 1.44</t>
  </si>
  <si>
    <t>SO No HYPOTHESIS IS REJECTED</t>
  </si>
  <si>
    <t>SO NIFTY 50 IS NOT STATIONARY</t>
  </si>
  <si>
    <t>p value test</t>
  </si>
  <si>
    <t>at z statistic of 1.617101</t>
  </si>
  <si>
    <t>p value stands at 10.74%</t>
  </si>
  <si>
    <t>nifty 50 being a very critical index we can say that at any p value less than 15% Null hypothesis gets rejected</t>
  </si>
  <si>
    <t>SO NIFTY 50 IS NOT STATIONARY INFACT ITS QUITE VOLATILE.</t>
  </si>
  <si>
    <t>chi-square test</t>
  </si>
  <si>
    <t>sample taken to verify the variance (associated risk) is correctly measured.</t>
  </si>
  <si>
    <t>dates</t>
  </si>
  <si>
    <t>prices</t>
  </si>
  <si>
    <t>returns</t>
  </si>
  <si>
    <t>sample variance</t>
  </si>
  <si>
    <t>population variance</t>
  </si>
  <si>
    <t>No=associated risk   ie variance is=0.625368879</t>
  </si>
  <si>
    <t xml:space="preserve">one tailed test </t>
  </si>
  <si>
    <t>Na=associated risk  ie variance is not 0.625368879 or infact less</t>
  </si>
  <si>
    <t>level of significance 5%</t>
  </si>
  <si>
    <t>chi square statistic (at 28 degree of freedom)</t>
  </si>
  <si>
    <t>critical value</t>
  </si>
  <si>
    <t xml:space="preserve">chi square statistic </t>
  </si>
  <si>
    <t xml:space="preserve">so we fail to reject the null hypothesis  so we maintain our assumption that the associated risk is intact with your </t>
  </si>
  <si>
    <t>investments in  nifty50</t>
  </si>
  <si>
    <t>NOW INVESTING IN INDIA VIX TO REDUCE PORTFOLIO RISK</t>
  </si>
  <si>
    <t>CORRELATION BETWEEN NIFTY 50 AND INDIA VIX RETURNS</t>
  </si>
  <si>
    <t>NIFTY</t>
  </si>
  <si>
    <t>INDIA VIX</t>
  </si>
  <si>
    <t>PRICES</t>
  </si>
  <si>
    <t>RETURNS</t>
  </si>
  <si>
    <t>BASE OF CALCULATION</t>
  </si>
  <si>
    <t>SO OPTIMUM PORTFOLIO TO HEDGE YOUR INVESTMENTS IN NIFTY</t>
  </si>
  <si>
    <t>Weight of nifty</t>
  </si>
  <si>
    <t>Weight of vix</t>
  </si>
  <si>
    <t>expected return of nifty</t>
  </si>
  <si>
    <t>expected returns of vix</t>
  </si>
  <si>
    <t>VIX</t>
  </si>
  <si>
    <t>RETURN</t>
  </si>
  <si>
    <t>RISK</t>
  </si>
  <si>
    <t>portfilio return</t>
  </si>
  <si>
    <t>portfoliorisk</t>
  </si>
  <si>
    <t>portfolio risk</t>
  </si>
  <si>
    <t>weight of vix</t>
  </si>
  <si>
    <t>weight of nifty</t>
  </si>
  <si>
    <t>GLOBAL MINIMUM RISK PORTFOLIO</t>
  </si>
  <si>
    <t>OPTIMUM LEVELS OF INVESTMENT</t>
  </si>
  <si>
    <t>std dev</t>
  </si>
  <si>
    <t xml:space="preserve">CONCLUSION </t>
  </si>
  <si>
    <t>USING DESCRIPTIVE AND INFRENTIAL STATISTICAL APPROACH AND PORTFOLIO OPTIMIZATION IT IS PROVED THAT                                                              INVESTING IN INDIA VIX WILL SIGNIFICANTLY REDUCE YOUR PORTFOLIO RISK</t>
  </si>
  <si>
    <r>
      <t>BUT ALLOCATING MORE THAN</t>
    </r>
    <r>
      <rPr>
        <b/>
        <sz val="12"/>
        <color theme="1"/>
        <rFont val="Calibri"/>
        <family val="2"/>
        <scheme val="minor"/>
      </rPr>
      <t xml:space="preserve"> 15%</t>
    </r>
    <r>
      <rPr>
        <sz val="11"/>
        <color theme="1"/>
        <rFont val="Calibri"/>
        <family val="2"/>
        <scheme val="minor"/>
      </rPr>
      <t xml:space="preserve"> OF YOUR TOTAL INVESTMENTS INTO INDIAVIX</t>
    </r>
  </si>
  <si>
    <t>WILL ONLY REDUCE YOU RETURNS WHILE INCREASING RISK</t>
  </si>
  <si>
    <t>VIX futures can give investors an attractive venue for managing tail risk, but they require more in-depth analysis than other financial futures. Short-dated futures provide more protection in a tail event, but have a higher carrying cost. Longer-dated futures have a lower carrying cost, but do not perform as well in a tail event. The key to understanding VIX futures lies in the fact that the VIX is highly mean-reverting. This creates a volatile futures curve; but this volatility spells opportunity.                                         OPPORTUNITY TO HEDGE YOUR INVESTMENTS.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</si>
</sst>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p\o\r\t\f\o\l\i\o"/>
    <numFmt numFmtId="165" formatCode="\r\i\k"/>
  </numFmts>
  <fonts count="25">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C00000"/>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sz val="11"/>
      <color rgb="FF00B050"/>
      <name val="Calibri"/>
      <family val="2"/>
      <scheme val="minor"/>
    </font>
    <font>
      <sz val="12"/>
      <color theme="1"/>
      <name val="Calibri"/>
      <family val="2"/>
      <scheme val="minor"/>
    </font>
    <font>
      <sz val="8"/>
      <color rgb="FFFF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15" fontId="0" fillId="0" borderId="0" xfId="0" applyNumberFormat="1"/>
    <xf numFmtId="0" fontId="16" fillId="0" borderId="0" xfId="0" applyFont="1"/>
    <xf numFmtId="165" fontId="17" fillId="0" borderId="0" xfId="0" applyNumberFormat="1" applyFont="1"/>
    <xf numFmtId="164" fontId="17" fillId="0" borderId="0" xfId="0" applyNumberFormat="1" applyFont="1" applyFill="1" applyProtection="1"/>
    <xf numFmtId="0" fontId="16" fillId="0" borderId="0" xfId="0" applyFont="1" applyAlignment="1">
      <alignment horizontal="center" vertical="center"/>
    </xf>
    <xf numFmtId="0" fontId="16" fillId="0" borderId="0" xfId="0" applyFont="1" applyAlignment="1">
      <alignment horizontal="left"/>
    </xf>
    <xf numFmtId="0" fontId="0" fillId="0" borderId="0" xfId="0" applyAlignment="1">
      <alignment horizontal="left"/>
    </xf>
    <xf numFmtId="0" fontId="21" fillId="0" borderId="0" xfId="0" applyFont="1" applyAlignment="1"/>
    <xf numFmtId="0" fontId="0" fillId="0" borderId="0" xfId="0" applyAlignment="1">
      <alignment horizontal="left" indent="10"/>
    </xf>
    <xf numFmtId="0" fontId="21" fillId="0" borderId="0" xfId="0" applyFont="1" applyAlignment="1">
      <alignment horizontal="left" indent="10"/>
    </xf>
    <xf numFmtId="0" fontId="18" fillId="0" borderId="0" xfId="0" applyFont="1"/>
    <xf numFmtId="0" fontId="22" fillId="0" borderId="0" xfId="0" applyFont="1"/>
    <xf numFmtId="0" fontId="16" fillId="0" borderId="0" xfId="0" applyFont="1" applyAlignment="1">
      <alignment horizontal="left" indent="1"/>
    </xf>
    <xf numFmtId="0" fontId="19" fillId="0" borderId="0" xfId="0" applyFont="1"/>
    <xf numFmtId="0" fontId="23" fillId="0" borderId="0" xfId="0" applyFont="1"/>
    <xf numFmtId="0" fontId="16" fillId="0" borderId="0" xfId="0" applyFont="1" applyAlignment="1">
      <alignment horizontal="left" indent="6"/>
    </xf>
    <xf numFmtId="0" fontId="16" fillId="0" borderId="0" xfId="0" applyFont="1" applyAlignment="1">
      <alignment horizontal="left" indent="14"/>
    </xf>
    <xf numFmtId="0" fontId="0" fillId="0" borderId="0" xfId="0" applyAlignment="1">
      <alignment horizontal="left" indent="14"/>
    </xf>
    <xf numFmtId="0" fontId="16" fillId="0" borderId="0" xfId="0" applyFont="1" applyAlignment="1">
      <alignment horizontal="center"/>
    </xf>
    <xf numFmtId="0" fontId="0" fillId="0" borderId="0" xfId="0" applyAlignment="1">
      <alignment horizontal="center" vertical="center"/>
    </xf>
    <xf numFmtId="0" fontId="20" fillId="0" borderId="0" xfId="0" applyFont="1" applyAlignment="1">
      <alignment horizontal="center" vertical="center"/>
    </xf>
    <xf numFmtId="0" fontId="24" fillId="0" borderId="0" xfId="0" applyFont="1" applyAlignment="1">
      <alignment horizontal="center"/>
    </xf>
    <xf numFmtId="0" fontId="19" fillId="0" borderId="0" xfId="0" applyFont="1" applyAlignment="1">
      <alignment horizontal="center" vertical="center"/>
    </xf>
    <xf numFmtId="0" fontId="0" fillId="0" borderId="0" xfId="0" applyAlignment="1">
      <alignment horizontal="center" vertical="top" wrapText="1"/>
    </xf>
    <xf numFmtId="0" fontId="19" fillId="0" borderId="0" xfId="0" applyFont="1" applyAlignment="1">
      <alignment horizontal="center"/>
    </xf>
    <xf numFmtId="0" fontId="16" fillId="0" borderId="0" xfId="0" applyFont="1" applyAlignment="1">
      <alignment horizontal="center"/>
    </xf>
    <xf numFmtId="0" fontId="16" fillId="0" borderId="0" xfId="0" applyFont="1" applyAlignment="1">
      <alignment horizontal="left" vertical="center" indent="18"/>
    </xf>
    <xf numFmtId="0" fontId="0" fillId="0" borderId="0" xfId="0" applyAlignment="1">
      <alignment horizontal="center"/>
    </xf>
    <xf numFmtId="0" fontId="21" fillId="0" borderId="0" xfId="0" applyFont="1" applyAlignment="1">
      <alignment horizontal="center"/>
    </xf>
    <xf numFmtId="0" fontId="18" fillId="0" borderId="0" xfId="0" applyFont="1" applyAlignment="1">
      <alignment horizontal="left" indent="12"/>
    </xf>
    <xf numFmtId="0" fontId="0" fillId="0" borderId="0" xfId="0" applyAlignment="1">
      <alignment horizontal="center" wrapText="1"/>
    </xf>
    <xf numFmtId="0" fontId="0" fillId="0" borderId="0" xfId="0" applyAlignment="1">
      <alignment horizontal="center" vertical="center"/>
    </xf>
    <xf numFmtId="0" fontId="20" fillId="0" borderId="0" xfId="0" applyFont="1" applyAlignment="1">
      <alignment horizontal="center" vertical="center"/>
    </xf>
    <xf numFmtId="0" fontId="0" fillId="0" borderId="0" xfId="0"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nifty50</a:t>
            </a:r>
            <a:r>
              <a:rPr lang="en-US" baseline="0"/>
              <a:t> </a:t>
            </a:r>
            <a:r>
              <a:rPr lang="en-US"/>
              <a:t>distribution</a:t>
            </a:r>
            <a:endParaRPr lang="en-US" baseline="0"/>
          </a:p>
        </c:rich>
      </c:tx>
      <c:layout>
        <c:manualLayout>
          <c:xMode val="edge"/>
          <c:yMode val="edge"/>
          <c:x val="0.22700980392156866"/>
          <c:y val="5.86956323746266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HYPOTHESIS!$J$12:$J$21</c:f>
              <c:numCache>
                <c:formatCode>General</c:formatCode>
                <c:ptCount val="10"/>
                <c:pt idx="0">
                  <c:v>7000</c:v>
                </c:pt>
                <c:pt idx="1">
                  <c:v>7200</c:v>
                </c:pt>
                <c:pt idx="2">
                  <c:v>7400</c:v>
                </c:pt>
                <c:pt idx="3">
                  <c:v>7600</c:v>
                </c:pt>
                <c:pt idx="4">
                  <c:v>7800</c:v>
                </c:pt>
                <c:pt idx="5">
                  <c:v>8000</c:v>
                </c:pt>
                <c:pt idx="6">
                  <c:v>8200</c:v>
                </c:pt>
                <c:pt idx="7">
                  <c:v>8400</c:v>
                </c:pt>
                <c:pt idx="8">
                  <c:v>8600</c:v>
                </c:pt>
                <c:pt idx="9">
                  <c:v>8800</c:v>
                </c:pt>
              </c:numCache>
            </c:numRef>
          </c:cat>
          <c:val>
            <c:numRef>
              <c:f>HYPOTHESIS!$K$12:$K$21</c:f>
              <c:numCache>
                <c:formatCode>General</c:formatCode>
                <c:ptCount val="10"/>
                <c:pt idx="0">
                  <c:v>13</c:v>
                </c:pt>
                <c:pt idx="1">
                  <c:v>4</c:v>
                </c:pt>
                <c:pt idx="2">
                  <c:v>13</c:v>
                </c:pt>
                <c:pt idx="3">
                  <c:v>20</c:v>
                </c:pt>
                <c:pt idx="4">
                  <c:v>26</c:v>
                </c:pt>
                <c:pt idx="5">
                  <c:v>45</c:v>
                </c:pt>
                <c:pt idx="6">
                  <c:v>29</c:v>
                </c:pt>
                <c:pt idx="7">
                  <c:v>33</c:v>
                </c:pt>
                <c:pt idx="8">
                  <c:v>55</c:v>
                </c:pt>
                <c:pt idx="9">
                  <c:v>7</c:v>
                </c:pt>
              </c:numCache>
            </c:numRef>
          </c:val>
          <c:smooth val="0"/>
          <c:extLst>
            <c:ext xmlns:c16="http://schemas.microsoft.com/office/drawing/2014/chart" uri="{C3380CC4-5D6E-409C-BE32-E72D297353CC}">
              <c16:uniqueId val="{00000000-C097-43AD-96BC-3898930C6368}"/>
            </c:ext>
          </c:extLst>
        </c:ser>
        <c:dLbls>
          <c:showLegendKey val="0"/>
          <c:showVal val="0"/>
          <c:showCatName val="0"/>
          <c:showSerName val="0"/>
          <c:showPercent val="0"/>
          <c:showBubbleSize val="0"/>
        </c:dLbls>
        <c:smooth val="0"/>
        <c:axId val="215389800"/>
        <c:axId val="215390192"/>
      </c:lineChart>
      <c:catAx>
        <c:axId val="215389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90192"/>
        <c:crossesAt val="0"/>
        <c:auto val="1"/>
        <c:lblAlgn val="ctr"/>
        <c:lblOffset val="100"/>
        <c:noMultiLvlLbl val="0"/>
      </c:catAx>
      <c:valAx>
        <c:axId val="215390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89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optimum</a:t>
            </a:r>
            <a:r>
              <a:rPr lang="en-US" baseline="0"/>
              <a:t> risk with max returns</a:t>
            </a:r>
          </a:p>
        </c:rich>
      </c:tx>
      <c:layout>
        <c:manualLayout>
          <c:xMode val="edge"/>
          <c:yMode val="edge"/>
          <c:x val="0.37506561679790024"/>
          <c:y val="1.66168770360991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82524223945691"/>
          <c:y val="0.12600502512562817"/>
          <c:w val="0.84613354251771156"/>
          <c:h val="0.59132770149962399"/>
        </c:manualLayout>
      </c:layout>
      <c:scatterChart>
        <c:scatterStyle val="lineMarker"/>
        <c:varyColors val="0"/>
        <c:ser>
          <c:idx val="0"/>
          <c:order val="0"/>
          <c:tx>
            <c:v>optimum risk</c:v>
          </c:tx>
          <c:spPr>
            <a:ln w="25400" cap="rnd">
              <a:noFill/>
              <a:round/>
            </a:ln>
            <a:effectLst/>
          </c:spPr>
          <c:marker>
            <c:symbol val="circle"/>
            <c:size val="5"/>
            <c:spPr>
              <a:solidFill>
                <a:schemeClr val="accent1"/>
              </a:solidFill>
              <a:ln w="9525">
                <a:solidFill>
                  <a:schemeClr val="accent1"/>
                </a:solidFill>
              </a:ln>
              <a:effectLst/>
            </c:spPr>
          </c:marker>
          <c:dPt>
            <c:idx val="8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2702-4CC3-916F-A1AF6E828D59}"/>
              </c:ext>
            </c:extLst>
          </c:dPt>
          <c:dPt>
            <c:idx val="87"/>
            <c:marker>
              <c:symbol val="circle"/>
              <c:size val="5"/>
              <c:spPr>
                <a:solidFill>
                  <a:schemeClr val="tx1"/>
                </a:solidFill>
                <a:ln w="9525">
                  <a:solidFill>
                    <a:schemeClr val="accent1"/>
                  </a:solidFill>
                </a:ln>
                <a:effectLst/>
              </c:spPr>
            </c:marker>
            <c:bubble3D val="0"/>
            <c:extLst>
              <c:ext xmlns:c16="http://schemas.microsoft.com/office/drawing/2014/chart" uri="{C3380CC4-5D6E-409C-BE32-E72D297353CC}">
                <c16:uniqueId val="{00000001-2702-4CC3-916F-A1AF6E828D59}"/>
              </c:ext>
            </c:extLst>
          </c:dPt>
          <c:dPt>
            <c:idx val="94"/>
            <c:marker>
              <c:symbol val="circle"/>
              <c:size val="5"/>
              <c:spPr>
                <a:solidFill>
                  <a:schemeClr val="tx1"/>
                </a:solidFill>
                <a:ln w="9525">
                  <a:solidFill>
                    <a:schemeClr val="accent1"/>
                  </a:solidFill>
                </a:ln>
                <a:effectLst/>
              </c:spPr>
            </c:marker>
            <c:bubble3D val="0"/>
            <c:extLst>
              <c:ext xmlns:c16="http://schemas.microsoft.com/office/drawing/2014/chart" uri="{C3380CC4-5D6E-409C-BE32-E72D297353CC}">
                <c16:uniqueId val="{00000002-2702-4CC3-916F-A1AF6E828D59}"/>
              </c:ext>
            </c:extLst>
          </c:dPt>
          <c:dPt>
            <c:idx val="99"/>
            <c:marker>
              <c:symbol val="circle"/>
              <c:size val="5"/>
              <c:spPr>
                <a:solidFill>
                  <a:schemeClr val="tx1"/>
                </a:solidFill>
                <a:ln w="9525">
                  <a:solidFill>
                    <a:schemeClr val="accent1"/>
                  </a:solidFill>
                </a:ln>
                <a:effectLst/>
              </c:spPr>
            </c:marker>
            <c:bubble3D val="0"/>
            <c:extLst>
              <c:ext xmlns:c16="http://schemas.microsoft.com/office/drawing/2014/chart" uri="{C3380CC4-5D6E-409C-BE32-E72D297353CC}">
                <c16:uniqueId val="{00000003-2702-4CC3-916F-A1AF6E828D59}"/>
              </c:ext>
            </c:extLst>
          </c:dPt>
          <c:dLbls>
            <c:dLbl>
              <c:idx val="87"/>
              <c:layout>
                <c:manualLayout>
                  <c:x val="0.15350877192982451"/>
                  <c:y val="0.108877721943048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2702-4CC3-916F-A1AF6E828D59}"/>
                </c:ext>
              </c:extLst>
            </c:dLbl>
            <c:dLbl>
              <c:idx val="94"/>
              <c:layout>
                <c:manualLayout>
                  <c:x val="0.29448621553884718"/>
                  <c:y val="8.37520938023450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2702-4CC3-916F-A1AF6E828D59}"/>
                </c:ext>
              </c:extLst>
            </c:dLbl>
            <c:dLbl>
              <c:idx val="99"/>
              <c:layout>
                <c:manualLayout>
                  <c:x val="6.2656641604010022E-3"/>
                  <c:y val="-9.212730318257958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r>
                      <a:rPr lang="en-US"/>
                      <a:t> </a:t>
                    </a:r>
                    <a:fld id="{77FA67AE-A46E-4213-94A1-B462C23F918D}" type="XVALUE">
                      <a:rPr lang="en-US"/>
                      <a:pPr>
                        <a:defRPr/>
                      </a:pPr>
                      <a:t>[]</a:t>
                    </a:fld>
                    <a:r>
                      <a:rPr lang="en-US" baseline="0"/>
                      <a:t>, </a:t>
                    </a:r>
                    <a:fld id="{C91B951C-BA82-45BB-9E18-C207022AF8FD}" type="YVALUE">
                      <a:rPr lang="en-US" baseline="0"/>
                      <a:pPr>
                        <a:defRPr/>
                      </a:pPr>
                      <a:t>[]</a:t>
                    </a:fld>
                    <a:endParaRPr lang="en-US" baseline="0"/>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 xmlns:c16="http://schemas.microsoft.com/office/drawing/2014/chart" uri="{C3380CC4-5D6E-409C-BE32-E72D297353CC}">
                  <c16:uniqueId val="{00000003-2702-4CC3-916F-A1AF6E828D5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PORTFOLIO!$L$17:$L$116</c:f>
              <c:numCache>
                <c:formatCode>General</c:formatCode>
                <c:ptCount val="100"/>
                <c:pt idx="0">
                  <c:v>9.7833700105820078</c:v>
                </c:pt>
                <c:pt idx="1">
                  <c:v>9.5598479794737266</c:v>
                </c:pt>
                <c:pt idx="2">
                  <c:v>9.3389997640628408</c:v>
                </c:pt>
                <c:pt idx="3">
                  <c:v>9.1208253643493578</c:v>
                </c:pt>
                <c:pt idx="4">
                  <c:v>8.9053247803332738</c:v>
                </c:pt>
                <c:pt idx="5">
                  <c:v>8.6924980120145872</c:v>
                </c:pt>
                <c:pt idx="6">
                  <c:v>8.4823450593933014</c:v>
                </c:pt>
                <c:pt idx="7">
                  <c:v>8.2748659224694165</c:v>
                </c:pt>
                <c:pt idx="8">
                  <c:v>8.0700606012429272</c:v>
                </c:pt>
                <c:pt idx="9">
                  <c:v>7.8679290957138406</c:v>
                </c:pt>
                <c:pt idx="10">
                  <c:v>7.6684714058821495</c:v>
                </c:pt>
                <c:pt idx="11">
                  <c:v>7.4716875317478602</c:v>
                </c:pt>
                <c:pt idx="12">
                  <c:v>7.2775774733109699</c:v>
                </c:pt>
                <c:pt idx="13">
                  <c:v>7.0861412305714779</c:v>
                </c:pt>
                <c:pt idx="14">
                  <c:v>6.8973788035293859</c:v>
                </c:pt>
                <c:pt idx="15">
                  <c:v>6.7112901921846939</c:v>
                </c:pt>
                <c:pt idx="16">
                  <c:v>6.527875396537401</c:v>
                </c:pt>
                <c:pt idx="17">
                  <c:v>6.347134416587509</c:v>
                </c:pt>
                <c:pt idx="18">
                  <c:v>6.1690672523350161</c:v>
                </c:pt>
                <c:pt idx="19">
                  <c:v>5.9936739037799196</c:v>
                </c:pt>
                <c:pt idx="20">
                  <c:v>5.820954370922224</c:v>
                </c:pt>
                <c:pt idx="21">
                  <c:v>5.6509086537619266</c:v>
                </c:pt>
                <c:pt idx="22">
                  <c:v>5.4835367522990293</c:v>
                </c:pt>
                <c:pt idx="23">
                  <c:v>5.3188386665335328</c:v>
                </c:pt>
                <c:pt idx="24">
                  <c:v>5.1568143964654336</c:v>
                </c:pt>
                <c:pt idx="25">
                  <c:v>4.9974639420947344</c:v>
                </c:pt>
                <c:pt idx="26">
                  <c:v>4.8407873034214344</c:v>
                </c:pt>
                <c:pt idx="27">
                  <c:v>4.6867844804455343</c:v>
                </c:pt>
                <c:pt idx="28">
                  <c:v>4.5354554731670333</c:v>
                </c:pt>
                <c:pt idx="29">
                  <c:v>4.3868002815859315</c:v>
                </c:pt>
                <c:pt idx="30">
                  <c:v>4.2408189057022287</c:v>
                </c:pt>
                <c:pt idx="31">
                  <c:v>4.0975113455159269</c:v>
                </c:pt>
                <c:pt idx="32">
                  <c:v>3.9568776010270224</c:v>
                </c:pt>
                <c:pt idx="33">
                  <c:v>3.8189176722355174</c:v>
                </c:pt>
                <c:pt idx="34">
                  <c:v>3.6836315591414142</c:v>
                </c:pt>
                <c:pt idx="35">
                  <c:v>3.5510192617447087</c:v>
                </c:pt>
                <c:pt idx="36">
                  <c:v>3.4210807800454024</c:v>
                </c:pt>
                <c:pt idx="37">
                  <c:v>3.2938161140434952</c:v>
                </c:pt>
                <c:pt idx="38">
                  <c:v>3.1692252637389871</c:v>
                </c:pt>
                <c:pt idx="39">
                  <c:v>3.0473082291318785</c:v>
                </c:pt>
                <c:pt idx="40">
                  <c:v>2.9280650102221708</c:v>
                </c:pt>
                <c:pt idx="41">
                  <c:v>2.8114956070098609</c:v>
                </c:pt>
                <c:pt idx="42">
                  <c:v>2.6976000194949505</c:v>
                </c:pt>
                <c:pt idx="43">
                  <c:v>2.5863782476774388</c:v>
                </c:pt>
                <c:pt idx="44">
                  <c:v>2.4778302915573276</c:v>
                </c:pt>
                <c:pt idx="45">
                  <c:v>2.371956151134615</c:v>
                </c:pt>
                <c:pt idx="46">
                  <c:v>2.268755826409302</c:v>
                </c:pt>
                <c:pt idx="47">
                  <c:v>2.168229317381388</c:v>
                </c:pt>
                <c:pt idx="48">
                  <c:v>2.0703766240508736</c:v>
                </c:pt>
                <c:pt idx="49">
                  <c:v>1.9751977464177584</c:v>
                </c:pt>
                <c:pt idx="50">
                  <c:v>1.8826926844820426</c:v>
                </c:pt>
                <c:pt idx="51">
                  <c:v>1.7928614382437267</c:v>
                </c:pt>
                <c:pt idx="52">
                  <c:v>1.7057040077028094</c:v>
                </c:pt>
                <c:pt idx="53">
                  <c:v>1.6212203928592914</c:v>
                </c:pt>
                <c:pt idx="54">
                  <c:v>1.539410593713173</c:v>
                </c:pt>
                <c:pt idx="55">
                  <c:v>1.4602746102644544</c:v>
                </c:pt>
                <c:pt idx="56">
                  <c:v>1.3838124425131348</c:v>
                </c:pt>
                <c:pt idx="57">
                  <c:v>1.3100240904592146</c:v>
                </c:pt>
                <c:pt idx="58">
                  <c:v>1.2389095541026935</c:v>
                </c:pt>
                <c:pt idx="59">
                  <c:v>1.170468833443572</c:v>
                </c:pt>
                <c:pt idx="60">
                  <c:v>1.1047019284818493</c:v>
                </c:pt>
                <c:pt idx="61">
                  <c:v>1.0416088392175262</c:v>
                </c:pt>
                <c:pt idx="62">
                  <c:v>0.98118956565060245</c:v>
                </c:pt>
                <c:pt idx="63">
                  <c:v>0.92344410778107799</c:v>
                </c:pt>
                <c:pt idx="64">
                  <c:v>0.86837246560895298</c:v>
                </c:pt>
                <c:pt idx="65">
                  <c:v>0.8159746391342273</c:v>
                </c:pt>
                <c:pt idx="66">
                  <c:v>0.7662506283569005</c:v>
                </c:pt>
                <c:pt idx="67">
                  <c:v>0.71920043327697358</c:v>
                </c:pt>
                <c:pt idx="68">
                  <c:v>0.67482405389444655</c:v>
                </c:pt>
                <c:pt idx="69">
                  <c:v>0.63312149020931796</c:v>
                </c:pt>
                <c:pt idx="70">
                  <c:v>0.59409274222158892</c:v>
                </c:pt>
                <c:pt idx="71">
                  <c:v>0.5577378099312591</c:v>
                </c:pt>
                <c:pt idx="72">
                  <c:v>0.52405669333832872</c:v>
                </c:pt>
                <c:pt idx="73">
                  <c:v>0.49304939244279766</c:v>
                </c:pt>
                <c:pt idx="74">
                  <c:v>0.46471590724466583</c:v>
                </c:pt>
                <c:pt idx="75">
                  <c:v>0.43905623774393343</c:v>
                </c:pt>
                <c:pt idx="76">
                  <c:v>0.41607038394060031</c:v>
                </c:pt>
                <c:pt idx="77">
                  <c:v>0.39575834583466662</c:v>
                </c:pt>
                <c:pt idx="78">
                  <c:v>0.37812012342613222</c:v>
                </c:pt>
                <c:pt idx="79">
                  <c:v>0.36315571671499719</c:v>
                </c:pt>
                <c:pt idx="80">
                  <c:v>0.35086512570126155</c:v>
                </c:pt>
                <c:pt idx="81">
                  <c:v>0.34124835038492524</c:v>
                </c:pt>
                <c:pt idx="82">
                  <c:v>0.33430539076598798</c:v>
                </c:pt>
                <c:pt idx="83">
                  <c:v>0.33003624684445038</c:v>
                </c:pt>
                <c:pt idx="84">
                  <c:v>0.32844091862031194</c:v>
                </c:pt>
                <c:pt idx="85">
                  <c:v>0.32951940609357278</c:v>
                </c:pt>
                <c:pt idx="86">
                  <c:v>0.33327170926423311</c:v>
                </c:pt>
                <c:pt idx="87">
                  <c:v>0.33969782813229277</c:v>
                </c:pt>
                <c:pt idx="88">
                  <c:v>0.3487977626977517</c:v>
                </c:pt>
                <c:pt idx="89">
                  <c:v>0.36057151296060991</c:v>
                </c:pt>
                <c:pt idx="90">
                  <c:v>0.37501907892086744</c:v>
                </c:pt>
                <c:pt idx="91">
                  <c:v>0.39214046057852447</c:v>
                </c:pt>
                <c:pt idx="92">
                  <c:v>0.41193565793358067</c:v>
                </c:pt>
                <c:pt idx="93">
                  <c:v>0.43440467098603608</c:v>
                </c:pt>
                <c:pt idx="94">
                  <c:v>0.4595474997358911</c:v>
                </c:pt>
                <c:pt idx="95">
                  <c:v>0.48736414418314539</c:v>
                </c:pt>
                <c:pt idx="96">
                  <c:v>0.51785460432779895</c:v>
                </c:pt>
                <c:pt idx="97">
                  <c:v>0.55101888016985179</c:v>
                </c:pt>
                <c:pt idx="98">
                  <c:v>0.58685697170930418</c:v>
                </c:pt>
                <c:pt idx="99">
                  <c:v>0.62536887894615578</c:v>
                </c:pt>
              </c:numCache>
            </c:numRef>
          </c:xVal>
          <c:yVal>
            <c:numRef>
              <c:f>PORTFOLIO!$K$17:$K$116</c:f>
              <c:numCache>
                <c:formatCode>General</c:formatCode>
                <c:ptCount val="100"/>
                <c:pt idx="0">
                  <c:v>-1.7641588138521607E-2</c:v>
                </c:pt>
                <c:pt idx="1">
                  <c:v>-1.6818583303446343E-2</c:v>
                </c:pt>
                <c:pt idx="2">
                  <c:v>-1.5995578468371078E-2</c:v>
                </c:pt>
                <c:pt idx="3">
                  <c:v>-1.5172573633295817E-2</c:v>
                </c:pt>
                <c:pt idx="4">
                  <c:v>-1.4349568798220552E-2</c:v>
                </c:pt>
                <c:pt idx="5">
                  <c:v>-1.3526563963145288E-2</c:v>
                </c:pt>
                <c:pt idx="6">
                  <c:v>-1.2703559128070021E-2</c:v>
                </c:pt>
                <c:pt idx="7">
                  <c:v>-1.1880554292994762E-2</c:v>
                </c:pt>
                <c:pt idx="8">
                  <c:v>-1.1057549457919497E-2</c:v>
                </c:pt>
                <c:pt idx="9">
                  <c:v>-1.0234544622844231E-2</c:v>
                </c:pt>
                <c:pt idx="10">
                  <c:v>-9.4115397877689664E-3</c:v>
                </c:pt>
                <c:pt idx="11">
                  <c:v>-8.5885349526937018E-3</c:v>
                </c:pt>
                <c:pt idx="12">
                  <c:v>-7.7655301176184407E-3</c:v>
                </c:pt>
                <c:pt idx="13">
                  <c:v>-6.9425252825431744E-3</c:v>
                </c:pt>
                <c:pt idx="14">
                  <c:v>-6.1195204474679115E-3</c:v>
                </c:pt>
                <c:pt idx="15">
                  <c:v>-5.2965156123926469E-3</c:v>
                </c:pt>
                <c:pt idx="16">
                  <c:v>-4.4735107773173806E-3</c:v>
                </c:pt>
                <c:pt idx="17">
                  <c:v>-3.6505059422421212E-3</c:v>
                </c:pt>
                <c:pt idx="18">
                  <c:v>-2.8275011071668549E-3</c:v>
                </c:pt>
                <c:pt idx="19">
                  <c:v>-2.0044962720915903E-3</c:v>
                </c:pt>
                <c:pt idx="20">
                  <c:v>-1.1814914370163292E-3</c:v>
                </c:pt>
                <c:pt idx="21">
                  <c:v>-3.5848660194106284E-4</c:v>
                </c:pt>
                <c:pt idx="22">
                  <c:v>4.6451823313420175E-4</c:v>
                </c:pt>
                <c:pt idx="23">
                  <c:v>1.2875230682094646E-3</c:v>
                </c:pt>
                <c:pt idx="24">
                  <c:v>2.1105279032847292E-3</c:v>
                </c:pt>
                <c:pt idx="25">
                  <c:v>2.9335327383599938E-3</c:v>
                </c:pt>
                <c:pt idx="26">
                  <c:v>3.7565375734352566E-3</c:v>
                </c:pt>
                <c:pt idx="27">
                  <c:v>4.5795424085105247E-3</c:v>
                </c:pt>
                <c:pt idx="28">
                  <c:v>5.4025472435857858E-3</c:v>
                </c:pt>
                <c:pt idx="29">
                  <c:v>6.2255520786610487E-3</c:v>
                </c:pt>
                <c:pt idx="30">
                  <c:v>7.0485569137363133E-3</c:v>
                </c:pt>
                <c:pt idx="31">
                  <c:v>7.8715617488115779E-3</c:v>
                </c:pt>
                <c:pt idx="32">
                  <c:v>8.6945665838868459E-3</c:v>
                </c:pt>
                <c:pt idx="33">
                  <c:v>9.5175714189621088E-3</c:v>
                </c:pt>
                <c:pt idx="34">
                  <c:v>1.0340576254037368E-2</c:v>
                </c:pt>
                <c:pt idx="35">
                  <c:v>1.1163581089112631E-2</c:v>
                </c:pt>
                <c:pt idx="36">
                  <c:v>1.1986585924187896E-2</c:v>
                </c:pt>
                <c:pt idx="37">
                  <c:v>1.2809590759263164E-2</c:v>
                </c:pt>
                <c:pt idx="38">
                  <c:v>1.3632595594338428E-2</c:v>
                </c:pt>
                <c:pt idx="39">
                  <c:v>1.4455600429413691E-2</c:v>
                </c:pt>
                <c:pt idx="40">
                  <c:v>1.527860526448895E-2</c:v>
                </c:pt>
                <c:pt idx="41">
                  <c:v>1.6101610099564213E-2</c:v>
                </c:pt>
                <c:pt idx="42">
                  <c:v>1.6924614934639481E-2</c:v>
                </c:pt>
                <c:pt idx="43">
                  <c:v>1.7747619769714746E-2</c:v>
                </c:pt>
                <c:pt idx="44">
                  <c:v>1.8570624604790011E-2</c:v>
                </c:pt>
                <c:pt idx="45">
                  <c:v>1.9393629439865272E-2</c:v>
                </c:pt>
                <c:pt idx="46">
                  <c:v>2.0216634274940533E-2</c:v>
                </c:pt>
                <c:pt idx="47">
                  <c:v>2.1039639110015801E-2</c:v>
                </c:pt>
                <c:pt idx="48">
                  <c:v>2.1862643945091065E-2</c:v>
                </c:pt>
                <c:pt idx="49">
                  <c:v>2.268564878016633E-2</c:v>
                </c:pt>
                <c:pt idx="50">
                  <c:v>2.3508653615241595E-2</c:v>
                </c:pt>
                <c:pt idx="51">
                  <c:v>2.4331658450316859E-2</c:v>
                </c:pt>
                <c:pt idx="52">
                  <c:v>2.515466328539212E-2</c:v>
                </c:pt>
                <c:pt idx="53">
                  <c:v>2.5977668120467388E-2</c:v>
                </c:pt>
                <c:pt idx="54">
                  <c:v>2.6800672955542656E-2</c:v>
                </c:pt>
                <c:pt idx="55">
                  <c:v>2.7623677790617921E-2</c:v>
                </c:pt>
                <c:pt idx="56">
                  <c:v>2.8446682625693179E-2</c:v>
                </c:pt>
                <c:pt idx="57">
                  <c:v>2.926968746076844E-2</c:v>
                </c:pt>
                <c:pt idx="58">
                  <c:v>3.0092692295843704E-2</c:v>
                </c:pt>
                <c:pt idx="59">
                  <c:v>3.0915697130918969E-2</c:v>
                </c:pt>
                <c:pt idx="60">
                  <c:v>3.173870196599423E-2</c:v>
                </c:pt>
                <c:pt idx="61">
                  <c:v>3.2561706801069498E-2</c:v>
                </c:pt>
                <c:pt idx="62">
                  <c:v>3.3384711636144759E-2</c:v>
                </c:pt>
                <c:pt idx="63">
                  <c:v>3.4207716471220027E-2</c:v>
                </c:pt>
                <c:pt idx="64">
                  <c:v>3.5030721306295295E-2</c:v>
                </c:pt>
                <c:pt idx="65">
                  <c:v>3.5853726141370557E-2</c:v>
                </c:pt>
                <c:pt idx="66">
                  <c:v>3.6676730976445825E-2</c:v>
                </c:pt>
                <c:pt idx="67">
                  <c:v>3.7499735811521086E-2</c:v>
                </c:pt>
                <c:pt idx="68">
                  <c:v>3.832274064659634E-2</c:v>
                </c:pt>
                <c:pt idx="69">
                  <c:v>3.9145745481671608E-2</c:v>
                </c:pt>
                <c:pt idx="70">
                  <c:v>3.9968750316746869E-2</c:v>
                </c:pt>
                <c:pt idx="71">
                  <c:v>4.0791755151822137E-2</c:v>
                </c:pt>
                <c:pt idx="72">
                  <c:v>4.1614759986897398E-2</c:v>
                </c:pt>
                <c:pt idx="73">
                  <c:v>4.2437764821972666E-2</c:v>
                </c:pt>
                <c:pt idx="74">
                  <c:v>4.3260769657047934E-2</c:v>
                </c:pt>
                <c:pt idx="75">
                  <c:v>4.4083774492123196E-2</c:v>
                </c:pt>
                <c:pt idx="76">
                  <c:v>4.4906779327198464E-2</c:v>
                </c:pt>
                <c:pt idx="77">
                  <c:v>4.5729784162273725E-2</c:v>
                </c:pt>
                <c:pt idx="78">
                  <c:v>4.6552788997348993E-2</c:v>
                </c:pt>
                <c:pt idx="79">
                  <c:v>4.7375793832424254E-2</c:v>
                </c:pt>
                <c:pt idx="80">
                  <c:v>4.8198798667499522E-2</c:v>
                </c:pt>
                <c:pt idx="81">
                  <c:v>4.9021803502574776E-2</c:v>
                </c:pt>
                <c:pt idx="82">
                  <c:v>4.9844808337650037E-2</c:v>
                </c:pt>
                <c:pt idx="83">
                  <c:v>5.0667813172725298E-2</c:v>
                </c:pt>
                <c:pt idx="84">
                  <c:v>5.1490818007800566E-2</c:v>
                </c:pt>
                <c:pt idx="85">
                  <c:v>5.2313822842875835E-2</c:v>
                </c:pt>
                <c:pt idx="86">
                  <c:v>5.3136827677951103E-2</c:v>
                </c:pt>
                <c:pt idx="87">
                  <c:v>5.3959832513026364E-2</c:v>
                </c:pt>
                <c:pt idx="88">
                  <c:v>5.4782837348101632E-2</c:v>
                </c:pt>
                <c:pt idx="89">
                  <c:v>5.5605842183176893E-2</c:v>
                </c:pt>
                <c:pt idx="90">
                  <c:v>5.6428847018252154E-2</c:v>
                </c:pt>
                <c:pt idx="91">
                  <c:v>5.7251851853327422E-2</c:v>
                </c:pt>
                <c:pt idx="92">
                  <c:v>5.8074856688402683E-2</c:v>
                </c:pt>
                <c:pt idx="93">
                  <c:v>5.8897861523477937E-2</c:v>
                </c:pt>
                <c:pt idx="94">
                  <c:v>5.9720866358553205E-2</c:v>
                </c:pt>
                <c:pt idx="95">
                  <c:v>6.0543871193628473E-2</c:v>
                </c:pt>
                <c:pt idx="96">
                  <c:v>6.1366876028703742E-2</c:v>
                </c:pt>
                <c:pt idx="97">
                  <c:v>6.2189880863779003E-2</c:v>
                </c:pt>
                <c:pt idx="98">
                  <c:v>6.3012885698854271E-2</c:v>
                </c:pt>
                <c:pt idx="99">
                  <c:v>6.3835890533929532E-2</c:v>
                </c:pt>
              </c:numCache>
            </c:numRef>
          </c:yVal>
          <c:smooth val="0"/>
          <c:extLst>
            <c:ext xmlns:c16="http://schemas.microsoft.com/office/drawing/2014/chart" uri="{C3380CC4-5D6E-409C-BE32-E72D297353CC}">
              <c16:uniqueId val="{00000004-2702-4CC3-916F-A1AF6E828D59}"/>
            </c:ext>
          </c:extLst>
        </c:ser>
        <c:dLbls>
          <c:showLegendKey val="0"/>
          <c:showVal val="0"/>
          <c:showCatName val="0"/>
          <c:showSerName val="0"/>
          <c:showPercent val="0"/>
          <c:showBubbleSize val="0"/>
        </c:dLbls>
        <c:axId val="215390976"/>
        <c:axId val="215391368"/>
      </c:scatterChart>
      <c:valAx>
        <c:axId val="215390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91368"/>
        <c:crosses val="autoZero"/>
        <c:crossBetween val="midCat"/>
      </c:valAx>
      <c:valAx>
        <c:axId val="215391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90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xdr:colOff>
      <xdr:row>14</xdr:row>
      <xdr:rowOff>45720</xdr:rowOff>
    </xdr:from>
    <xdr:to>
      <xdr:col>7</xdr:col>
      <xdr:colOff>441960</xdr:colOff>
      <xdr:row>14</xdr:row>
      <xdr:rowOff>175260</xdr:rowOff>
    </xdr:to>
    <xdr:sp macro="" textlink="">
      <xdr:nvSpPr>
        <xdr:cNvPr id="3073" name="Button 1" hidden="1">
          <a:extLst>
            <a:ext uri="{63B3BB69-23CF-44E3-9099-C40C66FF867C}">
              <a14:compatExt xmlns:a14="http://schemas.microsoft.com/office/drawing/2010/main"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rPr>
            <a:t>GOTO</a:t>
          </a:r>
        </a:p>
      </xdr:txBody>
    </xdr:sp>
    <xdr:clientData fPrintsWithSheet="0"/>
  </xdr:twoCellAnchor>
  <xdr:twoCellAnchor>
    <xdr:from>
      <xdr:col>8</xdr:col>
      <xdr:colOff>548640</xdr:colOff>
      <xdr:row>15</xdr:row>
      <xdr:rowOff>38100</xdr:rowOff>
    </xdr:from>
    <xdr:to>
      <xdr:col>9</xdr:col>
      <xdr:colOff>464820</xdr:colOff>
      <xdr:row>16</xdr:row>
      <xdr:rowOff>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rPr>
            <a:t>GOTO</a:t>
          </a:r>
        </a:p>
      </xdr:txBody>
    </xdr:sp>
    <xdr:clientData fPrintsWithSheet="0"/>
  </xdr:twoCellAnchor>
  <xdr:twoCellAnchor>
    <xdr:from>
      <xdr:col>9</xdr:col>
      <xdr:colOff>129540</xdr:colOff>
      <xdr:row>16</xdr:row>
      <xdr:rowOff>38100</xdr:rowOff>
    </xdr:from>
    <xdr:to>
      <xdr:col>9</xdr:col>
      <xdr:colOff>586740</xdr:colOff>
      <xdr:row>16</xdr:row>
      <xdr:rowOff>160020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rPr>
            <a:t>GOTO</a:t>
          </a:r>
        </a:p>
      </xdr:txBody>
    </xdr:sp>
    <xdr:clientData fPrintsWithSheet="0"/>
  </xdr:twoCellAnchor>
  <xdr:twoCellAnchor>
    <xdr:from>
      <xdr:col>1</xdr:col>
      <xdr:colOff>236220</xdr:colOff>
      <xdr:row>17</xdr:row>
      <xdr:rowOff>30480</xdr:rowOff>
    </xdr:from>
    <xdr:to>
      <xdr:col>2</xdr:col>
      <xdr:colOff>91440</xdr:colOff>
      <xdr:row>17</xdr:row>
      <xdr:rowOff>160020</xdr:rowOff>
    </xdr:to>
    <xdr:sp macro="" textlink="">
      <xdr:nvSpPr>
        <xdr:cNvPr id="3076" name="Button 4" hidden="1">
          <a:extLst>
            <a:ext uri="{63B3BB69-23CF-44E3-9099-C40C66FF867C}">
              <a14:compatExt xmlns:a14="http://schemas.microsoft.com/office/drawing/2010/main"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rPr>
            <a:t>GOTO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13</xdr:col>
      <xdr:colOff>304800</xdr:colOff>
      <xdr:row>8</xdr:row>
      <xdr:rowOff>129540</xdr:rowOff>
    </xdr:from>
    <xdr:to>
      <xdr:col>17</xdr:col>
      <xdr:colOff>68580</xdr:colOff>
      <xdr:row>21</xdr:row>
      <xdr:rowOff>83826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1150620</xdr:colOff>
      <xdr:row>10</xdr:row>
      <xdr:rowOff>152400</xdr:rowOff>
    </xdr:from>
    <xdr:to>
      <xdr:col>18</xdr:col>
      <xdr:colOff>7620</xdr:colOff>
      <xdr:row>27</xdr:row>
      <xdr:rowOff>76200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190500</xdr:colOff>
      <xdr:row>105</xdr:row>
      <xdr:rowOff>76200</xdr:rowOff>
    </xdr:from>
    <xdr:to>
      <xdr:col>12</xdr:col>
      <xdr:colOff>1001268</xdr:colOff>
      <xdr:row>113</xdr:row>
      <xdr:rowOff>0</xdr:rowOff>
    </xdr:to>
    <xdr:sp macro="" textlink="">
      <xdr:nvSpPr>
        <xdr:cNvPr id="6" name="Right Arrow 5">
          <a:extLst>
            <a:ext uri="{FF2B5EF4-FFF2-40B4-BE49-F238E27FC236}">
              <a16:creationId xmlns:a16="http://schemas.microsoft.com/office/drawing/2014/main" id="{00000000-0008-0000-0300-000006000000}"/>
            </a:ext>
          </a:extLst>
        </xdr:cNvPr>
        <xdr:cNvSpPr/>
      </xdr:nvSpPr>
      <xdr:spPr>
        <a:xfrm rot="10800000">
          <a:off x="8884920" y="19293840"/>
          <a:ext cx="810768" cy="1386840"/>
        </a:xfrm>
        <a:prstGeom prst="rightArrow">
          <a:avLst>
            <a:gd name="adj1" fmla="val 50000"/>
            <a:gd name="adj2" fmla="val 511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99060</xdr:colOff>
      <xdr:row>100</xdr:row>
      <xdr:rowOff>83820</xdr:rowOff>
    </xdr:from>
    <xdr:to>
      <xdr:col>12</xdr:col>
      <xdr:colOff>1333500</xdr:colOff>
      <xdr:row>100</xdr:row>
      <xdr:rowOff>83820</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H="1">
          <a:off x="8793480" y="18387060"/>
          <a:ext cx="123444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A1048576"/>
  <sheetViews>
    <sheetView showGridLines="0" topLeftCell="A5" workbookViewId="0" xr3:uid="{AEA406A1-0E4B-5B11-9CD5-51D6E497D94C}">
      <selection activeCell="P1" sqref="P1"/>
    </sheetView>
  </sheetViews>
  <sheetFormatPr defaultRowHeight="14.45"/>
  <sheetData>
    <row r="1" spans="1:12">
      <c r="A1" s="22" t="s">
        <v>0</v>
      </c>
      <c r="B1" s="22"/>
      <c r="C1" s="22"/>
      <c r="D1" s="22"/>
      <c r="E1" s="22"/>
      <c r="F1" s="22"/>
      <c r="G1" s="22"/>
      <c r="H1" s="22"/>
      <c r="I1" s="22"/>
      <c r="J1" s="22"/>
      <c r="K1" s="22"/>
      <c r="L1" s="22"/>
    </row>
    <row r="2" spans="1:12">
      <c r="A2" s="23" t="s">
        <v>1</v>
      </c>
      <c r="B2" s="23"/>
      <c r="C2" s="23"/>
      <c r="D2" s="23"/>
      <c r="E2" s="23"/>
      <c r="F2" s="23"/>
      <c r="G2" s="23"/>
      <c r="H2" s="23"/>
      <c r="I2" s="23"/>
      <c r="J2" s="23"/>
      <c r="K2" s="23"/>
      <c r="L2" s="23"/>
    </row>
    <row r="3" spans="1:12">
      <c r="A3" s="23"/>
      <c r="B3" s="23"/>
      <c r="C3" s="23"/>
      <c r="D3" s="23"/>
      <c r="E3" s="23"/>
      <c r="F3" s="23"/>
      <c r="G3" s="23"/>
      <c r="H3" s="23"/>
      <c r="I3" s="23"/>
      <c r="J3" s="23"/>
      <c r="K3" s="23"/>
      <c r="L3" s="23"/>
    </row>
    <row r="4" spans="1:12" ht="14.45" customHeight="1">
      <c r="A4" s="25" t="s">
        <v>2</v>
      </c>
      <c r="B4" s="25"/>
      <c r="C4" s="25"/>
      <c r="D4" s="25"/>
      <c r="E4" s="25"/>
      <c r="F4" s="25"/>
      <c r="G4" s="25"/>
      <c r="H4" s="25"/>
      <c r="I4" s="25"/>
      <c r="J4" s="25"/>
      <c r="K4" s="25"/>
      <c r="L4" s="25"/>
    </row>
    <row r="5" spans="1:12" ht="14.45" customHeight="1">
      <c r="A5" s="24" t="s">
        <v>3</v>
      </c>
      <c r="B5" s="24"/>
      <c r="C5" s="24"/>
      <c r="D5" s="24"/>
      <c r="E5" s="24"/>
      <c r="F5" s="24"/>
      <c r="G5" s="24"/>
      <c r="H5" s="24"/>
      <c r="I5" s="24"/>
      <c r="J5" s="24"/>
      <c r="K5" s="24"/>
      <c r="L5" s="24"/>
    </row>
    <row r="6" spans="1:12" ht="14.45" customHeight="1">
      <c r="A6" s="24"/>
      <c r="B6" s="24"/>
      <c r="C6" s="24"/>
      <c r="D6" s="24"/>
      <c r="E6" s="24"/>
      <c r="F6" s="24"/>
      <c r="G6" s="24"/>
      <c r="H6" s="24"/>
      <c r="I6" s="24"/>
      <c r="J6" s="24"/>
      <c r="K6" s="24"/>
      <c r="L6" s="24"/>
    </row>
    <row r="7" spans="1:12" ht="14.45" customHeight="1">
      <c r="A7" s="24"/>
      <c r="B7" s="24"/>
      <c r="C7" s="24"/>
      <c r="D7" s="24"/>
      <c r="E7" s="24"/>
      <c r="F7" s="24"/>
      <c r="G7" s="24"/>
      <c r="H7" s="24"/>
      <c r="I7" s="24"/>
      <c r="J7" s="24"/>
      <c r="K7" s="24"/>
      <c r="L7" s="24"/>
    </row>
    <row r="8" spans="1:12" ht="14.45" customHeight="1">
      <c r="A8" s="24"/>
      <c r="B8" s="24"/>
      <c r="C8" s="24"/>
      <c r="D8" s="24"/>
      <c r="E8" s="24"/>
      <c r="F8" s="24"/>
      <c r="G8" s="24"/>
      <c r="H8" s="24"/>
      <c r="I8" s="24"/>
      <c r="J8" s="24"/>
      <c r="K8" s="24"/>
      <c r="L8" s="24"/>
    </row>
    <row r="9" spans="1:12" ht="15.6">
      <c r="A9" s="14" t="s">
        <v>4</v>
      </c>
    </row>
    <row r="10" spans="1:12">
      <c r="A10" t="s">
        <v>5</v>
      </c>
    </row>
    <row r="11" spans="1:12">
      <c r="A11" t="s">
        <v>6</v>
      </c>
    </row>
    <row r="12" spans="1:12">
      <c r="A12" t="s">
        <v>7</v>
      </c>
    </row>
    <row r="14" spans="1:12" ht="15.6">
      <c r="A14" s="14" t="s">
        <v>8</v>
      </c>
    </row>
    <row r="15" spans="1:12">
      <c r="A15" t="s">
        <v>9</v>
      </c>
    </row>
    <row r="16" spans="1:12">
      <c r="A16" t="s">
        <v>10</v>
      </c>
    </row>
    <row r="17" spans="1:12">
      <c r="A17" t="s">
        <v>11</v>
      </c>
    </row>
    <row r="18" spans="1:12">
      <c r="A18" s="2" t="s">
        <v>12</v>
      </c>
    </row>
    <row r="19" spans="1:12">
      <c r="A19" s="2"/>
    </row>
    <row r="22" spans="1:12" ht="15.6">
      <c r="A22" s="15" t="s">
        <v>13</v>
      </c>
    </row>
    <row r="23" spans="1:12">
      <c r="A23" t="s">
        <v>14</v>
      </c>
    </row>
    <row r="24" spans="1:12">
      <c r="A24" t="s">
        <v>15</v>
      </c>
    </row>
    <row r="27" spans="1:12">
      <c r="A27" s="22"/>
      <c r="B27" s="22"/>
      <c r="C27" s="22"/>
      <c r="D27" s="22"/>
      <c r="E27" s="22"/>
      <c r="F27" s="22"/>
      <c r="G27" s="22"/>
      <c r="H27" s="22"/>
      <c r="I27" s="22"/>
      <c r="J27" s="22"/>
      <c r="K27" s="22"/>
      <c r="L27" s="22"/>
    </row>
    <row r="1048576" spans="16370:16381">
      <c r="XEP1048576" s="22" t="s">
        <v>16</v>
      </c>
      <c r="XEQ1048576" s="22"/>
      <c r="XER1048576" s="22"/>
      <c r="XES1048576" s="22"/>
      <c r="XET1048576" s="22"/>
      <c r="XEU1048576" s="22"/>
      <c r="XEV1048576" s="22"/>
      <c r="XEW1048576" s="22"/>
      <c r="XEX1048576" s="22"/>
      <c r="XEY1048576" s="22"/>
      <c r="XEZ1048576" s="22"/>
      <c r="XFA1048576" s="22"/>
    </row>
  </sheetData>
  <sheetProtection algorithmName="SHA-512" hashValue="A+htGW4G+DfvXmz2xIqppd9Jy/hBsqO2/H/Zfu+yZiJCuALdmjBNUd7ah4cpsavLJIOZm+lxiQLGbgp3roLw9A==" saltValue="rfX5VDRu+BeWhexl7nyy6w==" spinCount="100000" sheet="1" objects="1" scenarios="1"/>
  <mergeCells count="6">
    <mergeCell ref="XEP1048576:XFA1048576"/>
    <mergeCell ref="A2:L3"/>
    <mergeCell ref="A5:L8"/>
    <mergeCell ref="A4:L4"/>
    <mergeCell ref="A1:L1"/>
    <mergeCell ref="A27:L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XEV1048576"/>
  <sheetViews>
    <sheetView topLeftCell="A3" zoomScale="85" zoomScaleNormal="85" workbookViewId="0" xr3:uid="{958C4451-9541-5A59-BF78-D2F731DF1C81}">
      <pane xSplit="1" ySplit="4" topLeftCell="B268" activePane="bottomRight" state="frozen"/>
      <selection pane="bottomRight" activeCell="K8" sqref="K8"/>
      <selection pane="bottomLeft" activeCell="D17" sqref="D17"/>
      <selection pane="topRight" activeCell="D17" sqref="D17"/>
    </sheetView>
  </sheetViews>
  <sheetFormatPr defaultRowHeight="14.45"/>
  <cols>
    <col min="1" max="1" width="17.7109375" customWidth="1"/>
    <col min="2" max="2" width="9.42578125" customWidth="1"/>
    <col min="6" max="6" width="10.5703125" customWidth="1"/>
    <col min="9" max="9" width="7.7109375" customWidth="1"/>
    <col min="11" max="11" width="9.7109375" customWidth="1"/>
    <col min="16" max="16" width="11.42578125" customWidth="1"/>
  </cols>
  <sheetData>
    <row r="3" spans="1:14">
      <c r="A3" s="22" t="s">
        <v>0</v>
      </c>
      <c r="B3" s="22"/>
      <c r="C3" s="22"/>
      <c r="D3" s="22"/>
      <c r="E3" s="22"/>
      <c r="F3" s="22"/>
      <c r="G3" s="22"/>
      <c r="H3" s="22"/>
      <c r="I3" s="22"/>
      <c r="J3" s="22"/>
      <c r="K3" s="22"/>
      <c r="L3" s="22"/>
    </row>
    <row r="4" spans="1:14" ht="19.149999999999999" customHeight="1">
      <c r="A4" s="27" t="s">
        <v>17</v>
      </c>
      <c r="B4" s="27"/>
      <c r="C4" s="27"/>
      <c r="D4" s="27"/>
      <c r="E4" s="27"/>
      <c r="F4" s="27"/>
      <c r="G4" s="27"/>
      <c r="H4" s="27"/>
      <c r="I4" s="27"/>
      <c r="J4" s="5"/>
    </row>
    <row r="5" spans="1:14">
      <c r="B5" s="2" t="s">
        <v>18</v>
      </c>
      <c r="F5" s="26" t="s">
        <v>19</v>
      </c>
      <c r="G5" s="26"/>
    </row>
    <row r="6" spans="1:14">
      <c r="A6" t="s">
        <v>20</v>
      </c>
      <c r="B6" t="s">
        <v>21</v>
      </c>
      <c r="C6" t="s">
        <v>22</v>
      </c>
      <c r="D6" t="s">
        <v>23</v>
      </c>
      <c r="F6" t="s">
        <v>24</v>
      </c>
      <c r="G6" t="s">
        <v>25</v>
      </c>
      <c r="H6" t="s">
        <v>23</v>
      </c>
    </row>
    <row r="7" spans="1:14">
      <c r="A7" s="1">
        <v>42405</v>
      </c>
      <c r="B7">
        <v>7418.25</v>
      </c>
      <c r="C7">
        <v>7489.1</v>
      </c>
      <c r="D7">
        <f>(B7+C7)/2</f>
        <v>7453.6750000000002</v>
      </c>
      <c r="F7">
        <v>18.2075</v>
      </c>
      <c r="G7">
        <v>18.114999999999998</v>
      </c>
      <c r="H7">
        <f>(F7+G7)/2</f>
        <v>18.161249999999999</v>
      </c>
      <c r="L7" s="2" t="s">
        <v>26</v>
      </c>
      <c r="M7" s="2"/>
      <c r="N7" s="2"/>
    </row>
    <row r="8" spans="1:14">
      <c r="A8" s="1">
        <v>42408</v>
      </c>
      <c r="B8">
        <v>7489.7</v>
      </c>
      <c r="C8">
        <v>7387.25</v>
      </c>
      <c r="D8">
        <f t="shared" ref="D8:D71" si="0">(B8+C8)/2</f>
        <v>7438.4750000000004</v>
      </c>
      <c r="F8">
        <v>18.114999999999998</v>
      </c>
      <c r="G8">
        <v>20.2575</v>
      </c>
      <c r="H8">
        <f t="shared" ref="H8:H71" si="1">(F8+G8)/2</f>
        <v>19.186250000000001</v>
      </c>
      <c r="J8" s="2" t="s">
        <v>27</v>
      </c>
      <c r="K8">
        <f>MIN(D7:D252)</f>
        <v>7000.2250000000004</v>
      </c>
    </row>
    <row r="9" spans="1:14">
      <c r="A9" s="1">
        <v>42409</v>
      </c>
      <c r="B9">
        <v>7303.95</v>
      </c>
      <c r="C9">
        <v>7298.2</v>
      </c>
      <c r="D9">
        <f t="shared" si="0"/>
        <v>7301.0749999999998</v>
      </c>
      <c r="F9">
        <v>20.2575</v>
      </c>
      <c r="G9">
        <v>21.727499999999999</v>
      </c>
      <c r="H9">
        <f t="shared" si="1"/>
        <v>20.9925</v>
      </c>
      <c r="J9" s="2" t="s">
        <v>28</v>
      </c>
      <c r="K9">
        <f>MAX(D7:D252)</f>
        <v>8943.3250000000007</v>
      </c>
    </row>
    <row r="10" spans="1:14">
      <c r="A10" s="1">
        <v>42410</v>
      </c>
      <c r="B10">
        <v>7264.3</v>
      </c>
      <c r="C10">
        <v>7215.7</v>
      </c>
      <c r="D10">
        <f t="shared" si="0"/>
        <v>7240</v>
      </c>
      <c r="F10">
        <v>21.727499999999999</v>
      </c>
      <c r="G10">
        <v>22.465</v>
      </c>
      <c r="H10">
        <f t="shared" si="1"/>
        <v>22.096249999999998</v>
      </c>
    </row>
    <row r="11" spans="1:14">
      <c r="A11" s="1">
        <v>42411</v>
      </c>
      <c r="B11">
        <v>7203.6</v>
      </c>
      <c r="C11">
        <v>6976.35</v>
      </c>
      <c r="D11">
        <f t="shared" si="0"/>
        <v>7089.9750000000004</v>
      </c>
      <c r="F11">
        <v>22.465</v>
      </c>
      <c r="G11">
        <v>25.965</v>
      </c>
      <c r="H11">
        <f t="shared" si="1"/>
        <v>24.215</v>
      </c>
      <c r="J11" s="2" t="s">
        <v>29</v>
      </c>
      <c r="K11" s="2" t="s">
        <v>30</v>
      </c>
    </row>
    <row r="12" spans="1:14">
      <c r="A12" s="1">
        <v>42412</v>
      </c>
      <c r="B12">
        <v>7023.65</v>
      </c>
      <c r="C12">
        <v>6980.95</v>
      </c>
      <c r="D12">
        <f t="shared" si="0"/>
        <v>7002.2999999999993</v>
      </c>
      <c r="F12">
        <v>25.965</v>
      </c>
      <c r="G12">
        <v>24.672499999999999</v>
      </c>
      <c r="H12">
        <f t="shared" si="1"/>
        <v>25.318750000000001</v>
      </c>
      <c r="J12">
        <v>7000</v>
      </c>
      <c r="K12">
        <f>COUNTIFS(D7:D252,"&gt;"&amp;J12,D7:D252,"&lt;"&amp;(J12+200))</f>
        <v>13</v>
      </c>
    </row>
    <row r="13" spans="1:14">
      <c r="A13" s="1">
        <v>42415</v>
      </c>
      <c r="B13">
        <v>7057.35</v>
      </c>
      <c r="C13">
        <v>7162.95</v>
      </c>
      <c r="D13">
        <f t="shared" si="0"/>
        <v>7110.15</v>
      </c>
      <c r="F13">
        <v>24.672499999999999</v>
      </c>
      <c r="G13">
        <v>22.375</v>
      </c>
      <c r="H13">
        <f t="shared" si="1"/>
        <v>23.52375</v>
      </c>
      <c r="J13">
        <v>7200</v>
      </c>
      <c r="K13">
        <f t="shared" ref="K13:K21" si="2">COUNTIFS(D8:D253,"&gt;"&amp;J13,D8:D253,"&lt;"&amp;(J13+200))</f>
        <v>4</v>
      </c>
    </row>
    <row r="14" spans="1:14">
      <c r="A14" s="1">
        <v>42416</v>
      </c>
      <c r="B14">
        <v>7201.25</v>
      </c>
      <c r="C14">
        <v>7048.25</v>
      </c>
      <c r="D14">
        <f t="shared" si="0"/>
        <v>7124.75</v>
      </c>
      <c r="F14">
        <v>22.375</v>
      </c>
      <c r="G14">
        <v>23.04</v>
      </c>
      <c r="H14">
        <f t="shared" si="1"/>
        <v>22.7075</v>
      </c>
      <c r="J14">
        <v>7400</v>
      </c>
      <c r="K14">
        <f t="shared" si="2"/>
        <v>13</v>
      </c>
    </row>
    <row r="15" spans="1:14">
      <c r="A15" s="1">
        <v>42417</v>
      </c>
      <c r="B15">
        <v>7058.85</v>
      </c>
      <c r="C15">
        <v>7108.45</v>
      </c>
      <c r="D15">
        <f t="shared" si="0"/>
        <v>7083.65</v>
      </c>
      <c r="F15">
        <v>23.04</v>
      </c>
      <c r="G15">
        <v>21.8325</v>
      </c>
      <c r="H15">
        <f t="shared" si="1"/>
        <v>22.436250000000001</v>
      </c>
      <c r="J15">
        <v>7600</v>
      </c>
      <c r="K15">
        <f t="shared" si="2"/>
        <v>20</v>
      </c>
    </row>
    <row r="16" spans="1:14">
      <c r="A16" s="1">
        <v>42418</v>
      </c>
      <c r="B16">
        <v>7177.4</v>
      </c>
      <c r="C16">
        <v>7191.75</v>
      </c>
      <c r="D16">
        <f t="shared" si="0"/>
        <v>7184.5749999999998</v>
      </c>
      <c r="F16">
        <v>21.8325</v>
      </c>
      <c r="G16">
        <v>21.484999999999999</v>
      </c>
      <c r="H16">
        <f t="shared" si="1"/>
        <v>21.658749999999998</v>
      </c>
      <c r="J16">
        <v>7800</v>
      </c>
      <c r="K16">
        <f t="shared" si="2"/>
        <v>26</v>
      </c>
    </row>
    <row r="17" spans="1:21">
      <c r="A17" s="1">
        <v>42419</v>
      </c>
      <c r="B17">
        <v>7170.55</v>
      </c>
      <c r="C17">
        <v>7210.75</v>
      </c>
      <c r="D17">
        <f t="shared" si="0"/>
        <v>7190.65</v>
      </c>
      <c r="F17">
        <v>21.484999999999999</v>
      </c>
      <c r="G17">
        <v>20.914999999999999</v>
      </c>
      <c r="H17">
        <f t="shared" si="1"/>
        <v>21.2</v>
      </c>
      <c r="J17">
        <v>8000</v>
      </c>
      <c r="K17">
        <f>COUNTIFS(D12:D257,"&gt;"&amp;J17,D12:D257,"&lt;"&amp;(J17+200))</f>
        <v>45</v>
      </c>
    </row>
    <row r="18" spans="1:21">
      <c r="A18" s="1">
        <v>42422</v>
      </c>
      <c r="B18">
        <v>7208.85</v>
      </c>
      <c r="C18">
        <v>7234.55</v>
      </c>
      <c r="D18">
        <f t="shared" si="0"/>
        <v>7221.7000000000007</v>
      </c>
      <c r="F18">
        <v>20.914999999999999</v>
      </c>
      <c r="G18">
        <v>21.02</v>
      </c>
      <c r="H18">
        <f t="shared" si="1"/>
        <v>20.967500000000001</v>
      </c>
      <c r="J18">
        <v>8200</v>
      </c>
      <c r="K18">
        <f t="shared" si="2"/>
        <v>29</v>
      </c>
    </row>
    <row r="19" spans="1:21">
      <c r="A19" s="1">
        <v>42423</v>
      </c>
      <c r="B19">
        <v>7240.3</v>
      </c>
      <c r="C19">
        <v>7109.55</v>
      </c>
      <c r="D19">
        <f t="shared" si="0"/>
        <v>7174.9250000000002</v>
      </c>
      <c r="F19">
        <v>21.02</v>
      </c>
      <c r="G19">
        <v>23.837499999999999</v>
      </c>
      <c r="H19">
        <f t="shared" si="1"/>
        <v>22.428750000000001</v>
      </c>
      <c r="J19">
        <v>8400</v>
      </c>
      <c r="K19">
        <f t="shared" si="2"/>
        <v>33</v>
      </c>
    </row>
    <row r="20" spans="1:21">
      <c r="A20" s="1">
        <v>42424</v>
      </c>
      <c r="B20">
        <v>7075</v>
      </c>
      <c r="C20">
        <v>7018.7</v>
      </c>
      <c r="D20">
        <f t="shared" si="0"/>
        <v>7046.85</v>
      </c>
      <c r="F20">
        <v>23.837499999999999</v>
      </c>
      <c r="G20">
        <v>22.954999999999998</v>
      </c>
      <c r="H20">
        <f t="shared" si="1"/>
        <v>23.396249999999998</v>
      </c>
      <c r="J20">
        <v>8600</v>
      </c>
      <c r="K20">
        <f t="shared" si="2"/>
        <v>55</v>
      </c>
    </row>
    <row r="21" spans="1:21">
      <c r="A21" s="1">
        <v>42425</v>
      </c>
      <c r="B21">
        <v>7029.85</v>
      </c>
      <c r="C21">
        <v>6970.6</v>
      </c>
      <c r="D21">
        <f t="shared" si="0"/>
        <v>7000.2250000000004</v>
      </c>
      <c r="F21">
        <v>22.954999999999998</v>
      </c>
      <c r="G21">
        <v>22.745000000000001</v>
      </c>
      <c r="H21">
        <f t="shared" si="1"/>
        <v>22.85</v>
      </c>
      <c r="J21">
        <v>8800</v>
      </c>
      <c r="K21">
        <f t="shared" si="2"/>
        <v>7</v>
      </c>
    </row>
    <row r="22" spans="1:21">
      <c r="A22" s="1">
        <v>42426</v>
      </c>
      <c r="B22">
        <v>7039.3</v>
      </c>
      <c r="C22">
        <v>7029.75</v>
      </c>
      <c r="D22">
        <f t="shared" si="0"/>
        <v>7034.5249999999996</v>
      </c>
      <c r="F22">
        <v>22.745000000000001</v>
      </c>
      <c r="G22">
        <v>21.864999999999998</v>
      </c>
      <c r="H22">
        <f t="shared" si="1"/>
        <v>22.305</v>
      </c>
    </row>
    <row r="23" spans="1:21">
      <c r="A23" s="1">
        <v>42429</v>
      </c>
      <c r="B23">
        <v>7050.45</v>
      </c>
      <c r="C23">
        <v>6987.05</v>
      </c>
      <c r="D23">
        <f t="shared" si="0"/>
        <v>7018.75</v>
      </c>
      <c r="F23">
        <v>21.864999999999998</v>
      </c>
      <c r="G23">
        <v>20.157499999999999</v>
      </c>
      <c r="H23">
        <f t="shared" si="1"/>
        <v>21.011249999999997</v>
      </c>
    </row>
    <row r="24" spans="1:21">
      <c r="A24" s="1">
        <v>42430</v>
      </c>
      <c r="B24">
        <v>7038.25</v>
      </c>
      <c r="C24">
        <v>7222.3</v>
      </c>
      <c r="D24">
        <f t="shared" si="0"/>
        <v>7130.2749999999996</v>
      </c>
      <c r="F24">
        <v>20.157499999999999</v>
      </c>
      <c r="G24">
        <v>18.672499999999999</v>
      </c>
      <c r="H24">
        <f t="shared" si="1"/>
        <v>19.414999999999999</v>
      </c>
      <c r="N24" s="2" t="s">
        <v>31</v>
      </c>
      <c r="O24" s="2"/>
      <c r="P24" s="2"/>
      <c r="Q24" s="2"/>
      <c r="R24" s="2"/>
      <c r="S24" s="2"/>
      <c r="T24" s="2"/>
      <c r="U24" s="2"/>
    </row>
    <row r="25" spans="1:21">
      <c r="A25" s="1">
        <v>42431</v>
      </c>
      <c r="B25">
        <v>7321.7</v>
      </c>
      <c r="C25">
        <v>7368.85</v>
      </c>
      <c r="D25">
        <f t="shared" si="0"/>
        <v>7345.2749999999996</v>
      </c>
      <c r="F25">
        <v>18.672499999999999</v>
      </c>
      <c r="G25">
        <v>18.989999999999998</v>
      </c>
      <c r="H25">
        <f t="shared" si="1"/>
        <v>18.831249999999997</v>
      </c>
    </row>
    <row r="26" spans="1:21">
      <c r="A26" s="1">
        <v>42432</v>
      </c>
      <c r="B26">
        <v>7429.55</v>
      </c>
      <c r="C26">
        <v>7475.6</v>
      </c>
      <c r="D26">
        <f t="shared" si="0"/>
        <v>7452.5750000000007</v>
      </c>
      <c r="F26">
        <v>18.989999999999998</v>
      </c>
      <c r="G26">
        <v>18.04</v>
      </c>
      <c r="H26">
        <f t="shared" si="1"/>
        <v>18.515000000000001</v>
      </c>
    </row>
    <row r="27" spans="1:21">
      <c r="A27" s="1">
        <v>42433</v>
      </c>
      <c r="B27">
        <v>7505.4</v>
      </c>
      <c r="C27">
        <v>7485.35</v>
      </c>
      <c r="D27">
        <f t="shared" si="0"/>
        <v>7495.375</v>
      </c>
      <c r="F27">
        <v>18.04</v>
      </c>
      <c r="G27">
        <v>17.8825</v>
      </c>
      <c r="H27">
        <f t="shared" si="1"/>
        <v>17.96125</v>
      </c>
    </row>
    <row r="28" spans="1:21">
      <c r="A28" s="1">
        <v>42437</v>
      </c>
      <c r="B28">
        <v>7486.4</v>
      </c>
      <c r="C28">
        <v>7485.3</v>
      </c>
      <c r="D28">
        <f t="shared" si="0"/>
        <v>7485.85</v>
      </c>
      <c r="F28">
        <v>17.8825</v>
      </c>
      <c r="G28">
        <v>18.465</v>
      </c>
      <c r="H28">
        <f t="shared" si="1"/>
        <v>18.173749999999998</v>
      </c>
    </row>
    <row r="29" spans="1:21">
      <c r="A29" s="1">
        <v>42438</v>
      </c>
      <c r="B29">
        <v>7436.1</v>
      </c>
      <c r="C29">
        <v>7531.8</v>
      </c>
      <c r="D29">
        <f t="shared" si="0"/>
        <v>7483.9500000000007</v>
      </c>
      <c r="F29">
        <v>18.465</v>
      </c>
      <c r="G29">
        <v>17.504999999999999</v>
      </c>
      <c r="H29">
        <f t="shared" si="1"/>
        <v>17.984999999999999</v>
      </c>
    </row>
    <row r="30" spans="1:21">
      <c r="A30" s="1">
        <v>42439</v>
      </c>
      <c r="B30">
        <v>7545.35</v>
      </c>
      <c r="C30">
        <v>7486.15</v>
      </c>
      <c r="D30">
        <f t="shared" si="0"/>
        <v>7515.75</v>
      </c>
      <c r="F30">
        <v>17.504999999999999</v>
      </c>
      <c r="G30">
        <v>17.895</v>
      </c>
      <c r="H30">
        <f t="shared" si="1"/>
        <v>17.7</v>
      </c>
    </row>
    <row r="31" spans="1:21">
      <c r="A31" s="1">
        <v>42440</v>
      </c>
      <c r="B31">
        <v>7484.85</v>
      </c>
      <c r="C31">
        <v>7510.2</v>
      </c>
      <c r="D31">
        <f t="shared" si="0"/>
        <v>7497.5249999999996</v>
      </c>
      <c r="F31">
        <v>17.895</v>
      </c>
      <c r="G31">
        <v>17.0975</v>
      </c>
      <c r="H31">
        <f t="shared" si="1"/>
        <v>17.49625</v>
      </c>
    </row>
    <row r="32" spans="1:21">
      <c r="A32" s="1">
        <v>42443</v>
      </c>
      <c r="B32">
        <v>7542.6</v>
      </c>
      <c r="C32">
        <v>7538.75</v>
      </c>
      <c r="D32">
        <f t="shared" si="0"/>
        <v>7540.6750000000002</v>
      </c>
      <c r="F32">
        <v>17.0975</v>
      </c>
      <c r="G32">
        <v>17.102499999999999</v>
      </c>
      <c r="H32">
        <f t="shared" si="1"/>
        <v>17.100000000000001</v>
      </c>
    </row>
    <row r="33" spans="1:8">
      <c r="A33" s="1">
        <v>42444</v>
      </c>
      <c r="B33">
        <v>7535.85</v>
      </c>
      <c r="C33">
        <v>7460.6</v>
      </c>
      <c r="D33">
        <f t="shared" si="0"/>
        <v>7498.2250000000004</v>
      </c>
      <c r="F33">
        <v>17.102499999999999</v>
      </c>
      <c r="G33">
        <v>17.5975</v>
      </c>
      <c r="H33">
        <f t="shared" si="1"/>
        <v>17.350000000000001</v>
      </c>
    </row>
    <row r="34" spans="1:8">
      <c r="A34" s="1">
        <v>42445</v>
      </c>
      <c r="B34">
        <v>7457.05</v>
      </c>
      <c r="C34">
        <v>7498.75</v>
      </c>
      <c r="D34">
        <f t="shared" si="0"/>
        <v>7477.9</v>
      </c>
      <c r="F34">
        <v>17.5975</v>
      </c>
      <c r="G34">
        <v>17.114999999999998</v>
      </c>
      <c r="H34">
        <f t="shared" si="1"/>
        <v>17.356249999999999</v>
      </c>
    </row>
    <row r="35" spans="1:8">
      <c r="A35" s="1">
        <v>42446</v>
      </c>
      <c r="B35">
        <v>7557.4</v>
      </c>
      <c r="C35">
        <v>7512.55</v>
      </c>
      <c r="D35">
        <f t="shared" si="0"/>
        <v>7534.9750000000004</v>
      </c>
      <c r="F35">
        <v>17.114999999999998</v>
      </c>
      <c r="G35">
        <v>16.84</v>
      </c>
      <c r="H35">
        <f t="shared" si="1"/>
        <v>16.977499999999999</v>
      </c>
    </row>
    <row r="36" spans="1:8">
      <c r="A36" s="1">
        <v>42447</v>
      </c>
      <c r="B36">
        <v>7534.65</v>
      </c>
      <c r="C36">
        <v>7604.35</v>
      </c>
      <c r="D36">
        <f t="shared" si="0"/>
        <v>7569.5</v>
      </c>
      <c r="F36">
        <v>16.84</v>
      </c>
      <c r="G36">
        <v>16.3825</v>
      </c>
      <c r="H36">
        <f t="shared" si="1"/>
        <v>16.611249999999998</v>
      </c>
    </row>
    <row r="37" spans="1:8">
      <c r="A37" s="1">
        <v>42450</v>
      </c>
      <c r="B37">
        <v>7619.2</v>
      </c>
      <c r="C37">
        <v>7704.25</v>
      </c>
      <c r="D37">
        <f t="shared" si="0"/>
        <v>7661.7250000000004</v>
      </c>
      <c r="F37">
        <v>16.3825</v>
      </c>
      <c r="G37">
        <v>16.3325</v>
      </c>
      <c r="H37">
        <f t="shared" si="1"/>
        <v>16.357500000000002</v>
      </c>
    </row>
    <row r="38" spans="1:8">
      <c r="A38" s="1">
        <v>42451</v>
      </c>
      <c r="B38">
        <v>7695.55</v>
      </c>
      <c r="C38">
        <v>7714.9</v>
      </c>
      <c r="D38">
        <f t="shared" si="0"/>
        <v>7705.2250000000004</v>
      </c>
      <c r="F38">
        <v>16.3325</v>
      </c>
      <c r="G38">
        <v>16.43</v>
      </c>
      <c r="H38">
        <f t="shared" si="1"/>
        <v>16.381250000000001</v>
      </c>
    </row>
    <row r="39" spans="1:8">
      <c r="A39" s="1">
        <v>42452</v>
      </c>
      <c r="B39">
        <v>7717.45</v>
      </c>
      <c r="C39">
        <v>7716.5</v>
      </c>
      <c r="D39">
        <f t="shared" si="0"/>
        <v>7716.9750000000004</v>
      </c>
      <c r="F39">
        <v>16.43</v>
      </c>
      <c r="G39">
        <v>16.344999999999999</v>
      </c>
      <c r="H39">
        <f t="shared" si="1"/>
        <v>16.387499999999999</v>
      </c>
    </row>
    <row r="40" spans="1:8">
      <c r="A40" s="1">
        <v>42457</v>
      </c>
      <c r="B40">
        <v>7741</v>
      </c>
      <c r="C40">
        <v>7615.1</v>
      </c>
      <c r="D40">
        <f t="shared" si="0"/>
        <v>7678.05</v>
      </c>
      <c r="F40">
        <v>16.344999999999999</v>
      </c>
      <c r="G40">
        <v>17.484999999999999</v>
      </c>
      <c r="H40">
        <f t="shared" si="1"/>
        <v>16.914999999999999</v>
      </c>
    </row>
    <row r="41" spans="1:8">
      <c r="A41" s="1">
        <v>42458</v>
      </c>
      <c r="B41">
        <v>7606.55</v>
      </c>
      <c r="C41">
        <v>7597</v>
      </c>
      <c r="D41">
        <f t="shared" si="0"/>
        <v>7601.7749999999996</v>
      </c>
      <c r="F41">
        <v>17.484999999999999</v>
      </c>
      <c r="G41">
        <v>17.637499999999999</v>
      </c>
      <c r="H41">
        <f t="shared" si="1"/>
        <v>17.561250000000001</v>
      </c>
    </row>
    <row r="42" spans="1:8">
      <c r="A42" s="1">
        <v>42459</v>
      </c>
      <c r="B42">
        <v>7651.1</v>
      </c>
      <c r="C42">
        <v>7735.2</v>
      </c>
      <c r="D42">
        <f t="shared" si="0"/>
        <v>7693.15</v>
      </c>
      <c r="F42">
        <v>17.637499999999999</v>
      </c>
      <c r="G42">
        <v>16.807500000000001</v>
      </c>
      <c r="H42">
        <f t="shared" si="1"/>
        <v>17.2225</v>
      </c>
    </row>
    <row r="43" spans="1:8">
      <c r="A43" s="1">
        <v>42460</v>
      </c>
      <c r="B43">
        <v>7727.65</v>
      </c>
      <c r="C43">
        <v>7738.4</v>
      </c>
      <c r="D43">
        <f t="shared" si="0"/>
        <v>7733.0249999999996</v>
      </c>
      <c r="F43">
        <v>16.807500000000001</v>
      </c>
      <c r="G43">
        <v>16.5825</v>
      </c>
      <c r="H43">
        <f t="shared" si="1"/>
        <v>16.695</v>
      </c>
    </row>
    <row r="44" spans="1:8">
      <c r="A44" s="1">
        <v>42461</v>
      </c>
      <c r="B44">
        <v>7718.05</v>
      </c>
      <c r="C44">
        <v>7713.05</v>
      </c>
      <c r="D44">
        <f t="shared" si="0"/>
        <v>7715.55</v>
      </c>
      <c r="F44">
        <v>16.5825</v>
      </c>
      <c r="G44">
        <v>17.2775</v>
      </c>
      <c r="H44">
        <f t="shared" si="1"/>
        <v>16.93</v>
      </c>
    </row>
    <row r="45" spans="1:8">
      <c r="A45" s="1">
        <v>42464</v>
      </c>
      <c r="B45">
        <v>7733.15</v>
      </c>
      <c r="C45">
        <v>7758.8</v>
      </c>
      <c r="D45">
        <f t="shared" si="0"/>
        <v>7745.9750000000004</v>
      </c>
      <c r="F45">
        <v>17.2775</v>
      </c>
      <c r="G45">
        <v>17.45</v>
      </c>
      <c r="H45">
        <f t="shared" si="1"/>
        <v>17.36375</v>
      </c>
    </row>
    <row r="46" spans="1:8">
      <c r="A46" s="1">
        <v>42465</v>
      </c>
      <c r="B46">
        <v>7736.3</v>
      </c>
      <c r="C46">
        <v>7603.2</v>
      </c>
      <c r="D46">
        <f t="shared" si="0"/>
        <v>7669.75</v>
      </c>
      <c r="F46">
        <v>17.45</v>
      </c>
      <c r="G46">
        <v>17.829999999999998</v>
      </c>
      <c r="H46">
        <f t="shared" si="1"/>
        <v>17.64</v>
      </c>
    </row>
    <row r="47" spans="1:8">
      <c r="A47" s="1">
        <v>42466</v>
      </c>
      <c r="B47">
        <v>7636.05</v>
      </c>
      <c r="C47">
        <v>7614.35</v>
      </c>
      <c r="D47">
        <f t="shared" si="0"/>
        <v>7625.2000000000007</v>
      </c>
      <c r="F47">
        <v>17.829999999999998</v>
      </c>
      <c r="G47">
        <v>17.344999999999999</v>
      </c>
      <c r="H47">
        <f t="shared" si="1"/>
        <v>17.587499999999999</v>
      </c>
    </row>
    <row r="48" spans="1:8">
      <c r="A48" s="1">
        <v>42467</v>
      </c>
      <c r="B48">
        <v>7630.4</v>
      </c>
      <c r="C48">
        <v>7546.45</v>
      </c>
      <c r="D48">
        <f t="shared" si="0"/>
        <v>7588.4249999999993</v>
      </c>
      <c r="F48">
        <v>17.344999999999999</v>
      </c>
      <c r="G48">
        <v>16.934999999999999</v>
      </c>
      <c r="H48">
        <f t="shared" si="1"/>
        <v>17.14</v>
      </c>
    </row>
    <row r="49" spans="1:8">
      <c r="A49" s="1">
        <v>42468</v>
      </c>
      <c r="B49">
        <v>7542.35</v>
      </c>
      <c r="C49">
        <v>7555.2</v>
      </c>
      <c r="D49">
        <f t="shared" si="0"/>
        <v>7548.7749999999996</v>
      </c>
      <c r="F49">
        <v>16.934999999999999</v>
      </c>
      <c r="G49">
        <v>16.432500000000001</v>
      </c>
      <c r="H49">
        <f t="shared" si="1"/>
        <v>16.68375</v>
      </c>
    </row>
    <row r="50" spans="1:8">
      <c r="A50" s="1">
        <v>42471</v>
      </c>
      <c r="B50">
        <v>7577.8</v>
      </c>
      <c r="C50">
        <v>7671.4</v>
      </c>
      <c r="D50">
        <f t="shared" si="0"/>
        <v>7624.6</v>
      </c>
      <c r="F50">
        <v>16.432500000000001</v>
      </c>
      <c r="G50">
        <v>16.012499999999999</v>
      </c>
      <c r="H50">
        <f t="shared" si="1"/>
        <v>16.2225</v>
      </c>
    </row>
    <row r="51" spans="1:8">
      <c r="A51" s="1">
        <v>42472</v>
      </c>
      <c r="B51">
        <v>7669.25</v>
      </c>
      <c r="C51">
        <v>7708.95</v>
      </c>
      <c r="D51">
        <f t="shared" si="0"/>
        <v>7689.1</v>
      </c>
      <c r="F51">
        <v>16.012499999999999</v>
      </c>
      <c r="G51">
        <v>16.024999999999999</v>
      </c>
      <c r="H51">
        <f t="shared" si="1"/>
        <v>16.018749999999997</v>
      </c>
    </row>
    <row r="52" spans="1:8">
      <c r="A52" s="1">
        <v>42473</v>
      </c>
      <c r="B52">
        <v>7777.15</v>
      </c>
      <c r="C52">
        <v>7850.45</v>
      </c>
      <c r="D52">
        <f t="shared" si="0"/>
        <v>7813.7999999999993</v>
      </c>
      <c r="F52">
        <v>16.024999999999999</v>
      </c>
      <c r="G52">
        <v>16.035</v>
      </c>
      <c r="H52">
        <f t="shared" si="1"/>
        <v>16.03</v>
      </c>
    </row>
    <row r="53" spans="1:8">
      <c r="A53" s="1">
        <v>42478</v>
      </c>
      <c r="B53">
        <v>7908.15</v>
      </c>
      <c r="C53">
        <v>7914.7</v>
      </c>
      <c r="D53">
        <f t="shared" si="0"/>
        <v>7911.4249999999993</v>
      </c>
      <c r="F53">
        <v>16.035</v>
      </c>
      <c r="G53">
        <v>16.947500000000002</v>
      </c>
      <c r="H53">
        <f t="shared" si="1"/>
        <v>16.491250000000001</v>
      </c>
    </row>
    <row r="54" spans="1:8">
      <c r="A54" s="1">
        <v>42480</v>
      </c>
      <c r="B54">
        <v>7950.05</v>
      </c>
      <c r="C54">
        <v>7914.75</v>
      </c>
      <c r="D54">
        <f t="shared" si="0"/>
        <v>7932.4</v>
      </c>
      <c r="F54">
        <v>16.947500000000002</v>
      </c>
      <c r="G54">
        <v>17.074999999999999</v>
      </c>
      <c r="H54">
        <f t="shared" si="1"/>
        <v>17.01125</v>
      </c>
    </row>
    <row r="55" spans="1:8">
      <c r="A55" s="1">
        <v>42481</v>
      </c>
      <c r="B55">
        <v>7953.65</v>
      </c>
      <c r="C55">
        <v>7912.05</v>
      </c>
      <c r="D55">
        <f t="shared" si="0"/>
        <v>7932.85</v>
      </c>
      <c r="F55">
        <v>17.074999999999999</v>
      </c>
      <c r="G55">
        <v>16.512499999999999</v>
      </c>
      <c r="H55">
        <f t="shared" si="1"/>
        <v>16.793749999999999</v>
      </c>
    </row>
    <row r="56" spans="1:8">
      <c r="A56" s="1">
        <v>42482</v>
      </c>
      <c r="B56">
        <v>7891.8</v>
      </c>
      <c r="C56">
        <v>7899.3</v>
      </c>
      <c r="D56">
        <f t="shared" si="0"/>
        <v>7895.55</v>
      </c>
      <c r="F56">
        <v>16.512499999999999</v>
      </c>
      <c r="G56">
        <v>16.38</v>
      </c>
      <c r="H56">
        <f t="shared" si="1"/>
        <v>16.446249999999999</v>
      </c>
    </row>
    <row r="57" spans="1:8">
      <c r="A57" s="1">
        <v>42485</v>
      </c>
      <c r="B57">
        <v>7894.8</v>
      </c>
      <c r="C57">
        <v>7855.05</v>
      </c>
      <c r="D57">
        <f t="shared" si="0"/>
        <v>7874.9250000000002</v>
      </c>
      <c r="F57">
        <v>16.38</v>
      </c>
      <c r="G57">
        <v>16.572500000000002</v>
      </c>
      <c r="H57">
        <f t="shared" si="1"/>
        <v>16.47625</v>
      </c>
    </row>
    <row r="58" spans="1:8">
      <c r="A58" s="1">
        <v>42486</v>
      </c>
      <c r="B58">
        <v>7828.15</v>
      </c>
      <c r="C58">
        <v>7962.65</v>
      </c>
      <c r="D58">
        <f t="shared" si="0"/>
        <v>7895.4</v>
      </c>
      <c r="F58">
        <v>16.572500000000002</v>
      </c>
      <c r="G58">
        <v>16.579999999999998</v>
      </c>
      <c r="H58">
        <f t="shared" si="1"/>
        <v>16.576250000000002</v>
      </c>
    </row>
    <row r="59" spans="1:8">
      <c r="A59" s="1">
        <v>42487</v>
      </c>
      <c r="B59">
        <v>7942</v>
      </c>
      <c r="C59">
        <v>7979.9</v>
      </c>
      <c r="D59">
        <f t="shared" si="0"/>
        <v>7960.95</v>
      </c>
      <c r="F59">
        <v>16.579999999999998</v>
      </c>
      <c r="G59">
        <v>16.352499999999999</v>
      </c>
      <c r="H59">
        <f t="shared" si="1"/>
        <v>16.466249999999999</v>
      </c>
    </row>
    <row r="60" spans="1:8">
      <c r="A60" s="1">
        <v>42488</v>
      </c>
      <c r="B60">
        <v>7967.4</v>
      </c>
      <c r="C60">
        <v>7847.25</v>
      </c>
      <c r="D60">
        <f t="shared" si="0"/>
        <v>7907.3249999999998</v>
      </c>
      <c r="F60">
        <v>16.352499999999999</v>
      </c>
      <c r="G60">
        <v>16.5975</v>
      </c>
      <c r="H60">
        <f t="shared" si="1"/>
        <v>16.475000000000001</v>
      </c>
    </row>
    <row r="61" spans="1:8">
      <c r="A61" s="1">
        <v>42489</v>
      </c>
      <c r="B61">
        <v>7844.25</v>
      </c>
      <c r="C61">
        <v>7849.8</v>
      </c>
      <c r="D61">
        <f t="shared" si="0"/>
        <v>7847.0249999999996</v>
      </c>
      <c r="F61">
        <v>16.5975</v>
      </c>
      <c r="G61">
        <v>16.537500000000001</v>
      </c>
      <c r="H61">
        <f t="shared" si="1"/>
        <v>16.567500000000003</v>
      </c>
    </row>
    <row r="62" spans="1:8">
      <c r="A62" s="1">
        <v>42492</v>
      </c>
      <c r="B62">
        <v>7822.7</v>
      </c>
      <c r="C62">
        <v>7805.9</v>
      </c>
      <c r="D62">
        <f t="shared" si="0"/>
        <v>7814.2999999999993</v>
      </c>
      <c r="F62">
        <v>16.537500000000001</v>
      </c>
      <c r="G62">
        <v>17.092500000000001</v>
      </c>
      <c r="H62">
        <f t="shared" si="1"/>
        <v>16.815000000000001</v>
      </c>
    </row>
    <row r="63" spans="1:8">
      <c r="A63" s="1">
        <v>42493</v>
      </c>
      <c r="B63">
        <v>7824.8</v>
      </c>
      <c r="C63">
        <v>7747</v>
      </c>
      <c r="D63">
        <f t="shared" si="0"/>
        <v>7785.9</v>
      </c>
      <c r="F63">
        <v>17.092500000000001</v>
      </c>
      <c r="G63">
        <v>17.462499999999999</v>
      </c>
      <c r="H63">
        <f t="shared" si="1"/>
        <v>17.2775</v>
      </c>
    </row>
    <row r="64" spans="1:8">
      <c r="A64" s="1">
        <v>42494</v>
      </c>
      <c r="B64">
        <v>7724.15</v>
      </c>
      <c r="C64">
        <v>7706.55</v>
      </c>
      <c r="D64">
        <f t="shared" si="0"/>
        <v>7715.35</v>
      </c>
      <c r="F64">
        <v>17.462499999999999</v>
      </c>
      <c r="G64">
        <v>17.445</v>
      </c>
      <c r="H64">
        <f t="shared" si="1"/>
        <v>17.453749999999999</v>
      </c>
    </row>
    <row r="65" spans="1:8">
      <c r="A65" s="1">
        <v>42495</v>
      </c>
      <c r="B65">
        <v>7731</v>
      </c>
      <c r="C65">
        <v>7735.5</v>
      </c>
      <c r="D65">
        <f t="shared" si="0"/>
        <v>7733.25</v>
      </c>
      <c r="F65">
        <v>17.445</v>
      </c>
      <c r="G65">
        <v>17.170000000000002</v>
      </c>
      <c r="H65">
        <f t="shared" si="1"/>
        <v>17.307500000000001</v>
      </c>
    </row>
    <row r="66" spans="1:8">
      <c r="A66" s="1">
        <v>42496</v>
      </c>
      <c r="B66">
        <v>7717.65</v>
      </c>
      <c r="C66">
        <v>7733.45</v>
      </c>
      <c r="D66">
        <f t="shared" si="0"/>
        <v>7725.5499999999993</v>
      </c>
      <c r="F66">
        <v>17.170000000000002</v>
      </c>
      <c r="G66">
        <v>16.947500000000002</v>
      </c>
      <c r="H66">
        <f t="shared" si="1"/>
        <v>17.058750000000003</v>
      </c>
    </row>
    <row r="67" spans="1:8">
      <c r="A67" s="1">
        <v>42499</v>
      </c>
      <c r="B67">
        <v>7755.25</v>
      </c>
      <c r="C67">
        <v>7866.05</v>
      </c>
      <c r="D67">
        <f t="shared" si="0"/>
        <v>7810.65</v>
      </c>
      <c r="F67">
        <v>16.947500000000002</v>
      </c>
      <c r="G67">
        <v>16.612500000000001</v>
      </c>
      <c r="H67">
        <f t="shared" si="1"/>
        <v>16.78</v>
      </c>
    </row>
    <row r="68" spans="1:8">
      <c r="A68" s="1">
        <v>42500</v>
      </c>
      <c r="B68">
        <v>7873.55</v>
      </c>
      <c r="C68">
        <v>7887.8</v>
      </c>
      <c r="D68">
        <f t="shared" si="0"/>
        <v>7880.6750000000002</v>
      </c>
      <c r="F68">
        <v>16.612500000000001</v>
      </c>
      <c r="G68">
        <v>16.414999999999999</v>
      </c>
      <c r="H68">
        <f t="shared" si="1"/>
        <v>16.513750000000002</v>
      </c>
    </row>
    <row r="69" spans="1:8">
      <c r="A69" s="1">
        <v>42501</v>
      </c>
      <c r="B69">
        <v>7804.65</v>
      </c>
      <c r="C69">
        <v>7848.85</v>
      </c>
      <c r="D69">
        <f t="shared" si="0"/>
        <v>7826.75</v>
      </c>
      <c r="F69">
        <v>16.414999999999999</v>
      </c>
      <c r="G69">
        <v>16.962499999999999</v>
      </c>
      <c r="H69">
        <f t="shared" si="1"/>
        <v>16.688749999999999</v>
      </c>
    </row>
    <row r="70" spans="1:8">
      <c r="A70" s="1">
        <v>42502</v>
      </c>
      <c r="B70">
        <v>7871.45</v>
      </c>
      <c r="C70">
        <v>7900.4</v>
      </c>
      <c r="D70">
        <f t="shared" si="0"/>
        <v>7885.9249999999993</v>
      </c>
      <c r="F70">
        <v>16.962499999999999</v>
      </c>
      <c r="G70">
        <v>16.327500000000001</v>
      </c>
      <c r="H70">
        <f t="shared" si="1"/>
        <v>16.645</v>
      </c>
    </row>
    <row r="71" spans="1:8">
      <c r="A71" s="1">
        <v>42503</v>
      </c>
      <c r="B71">
        <v>7881</v>
      </c>
      <c r="C71">
        <v>7814.9</v>
      </c>
      <c r="D71">
        <f t="shared" si="0"/>
        <v>7847.95</v>
      </c>
      <c r="F71">
        <v>16.327500000000001</v>
      </c>
      <c r="G71">
        <v>16.997499999999999</v>
      </c>
      <c r="H71">
        <f t="shared" si="1"/>
        <v>16.662500000000001</v>
      </c>
    </row>
    <row r="72" spans="1:8">
      <c r="A72" s="1">
        <v>42506</v>
      </c>
      <c r="B72">
        <v>7831.2</v>
      </c>
      <c r="C72">
        <v>7860.75</v>
      </c>
      <c r="D72">
        <f t="shared" ref="D72:D135" si="3">(B72+C72)/2</f>
        <v>7845.9750000000004</v>
      </c>
      <c r="F72">
        <v>16.997499999999999</v>
      </c>
      <c r="G72">
        <v>17.032499999999999</v>
      </c>
      <c r="H72">
        <f t="shared" ref="H72:H135" si="4">(F72+G72)/2</f>
        <v>17.015000000000001</v>
      </c>
    </row>
    <row r="73" spans="1:8">
      <c r="A73" s="1">
        <v>42507</v>
      </c>
      <c r="B73">
        <v>7896.85</v>
      </c>
      <c r="C73">
        <v>7890.75</v>
      </c>
      <c r="D73">
        <f t="shared" si="3"/>
        <v>7893.8</v>
      </c>
      <c r="F73">
        <v>17.032499999999999</v>
      </c>
      <c r="G73">
        <v>16.372499999999999</v>
      </c>
      <c r="H73">
        <f t="shared" si="4"/>
        <v>16.702500000000001</v>
      </c>
    </row>
    <row r="74" spans="1:8">
      <c r="A74" s="1">
        <v>42508</v>
      </c>
      <c r="B74">
        <v>7846.75</v>
      </c>
      <c r="C74">
        <v>7870.15</v>
      </c>
      <c r="D74">
        <f t="shared" si="3"/>
        <v>7858.45</v>
      </c>
      <c r="F74">
        <v>16.372499999999999</v>
      </c>
      <c r="G74">
        <v>16.454999999999998</v>
      </c>
      <c r="H74">
        <f t="shared" si="4"/>
        <v>16.41375</v>
      </c>
    </row>
    <row r="75" spans="1:8">
      <c r="A75" s="1">
        <v>42509</v>
      </c>
      <c r="B75">
        <v>7875.5</v>
      </c>
      <c r="C75">
        <v>7783.4</v>
      </c>
      <c r="D75">
        <f t="shared" si="3"/>
        <v>7829.45</v>
      </c>
      <c r="F75">
        <v>16.454999999999998</v>
      </c>
      <c r="G75">
        <v>17.0625</v>
      </c>
      <c r="H75">
        <f t="shared" si="4"/>
        <v>16.758749999999999</v>
      </c>
    </row>
    <row r="76" spans="1:8">
      <c r="A76" s="1">
        <v>42510</v>
      </c>
      <c r="B76">
        <v>7792.2</v>
      </c>
      <c r="C76">
        <v>7749.7</v>
      </c>
      <c r="D76">
        <f t="shared" si="3"/>
        <v>7770.95</v>
      </c>
      <c r="F76">
        <v>17.0625</v>
      </c>
      <c r="G76">
        <v>16.425000000000001</v>
      </c>
      <c r="H76">
        <f t="shared" si="4"/>
        <v>16.743749999999999</v>
      </c>
    </row>
    <row r="77" spans="1:8">
      <c r="A77" s="1">
        <v>42513</v>
      </c>
      <c r="B77">
        <v>7813.95</v>
      </c>
      <c r="C77">
        <v>7731.05</v>
      </c>
      <c r="D77">
        <f t="shared" si="3"/>
        <v>7772.5</v>
      </c>
      <c r="F77">
        <v>16.425000000000001</v>
      </c>
      <c r="G77">
        <v>16.16</v>
      </c>
      <c r="H77">
        <f t="shared" si="4"/>
        <v>16.2925</v>
      </c>
    </row>
    <row r="78" spans="1:8">
      <c r="A78" s="1">
        <v>42514</v>
      </c>
      <c r="B78">
        <v>7738.05</v>
      </c>
      <c r="C78">
        <v>7748.85</v>
      </c>
      <c r="D78">
        <f t="shared" si="3"/>
        <v>7743.4500000000007</v>
      </c>
      <c r="F78">
        <v>16.16</v>
      </c>
      <c r="G78">
        <v>16.22</v>
      </c>
      <c r="H78">
        <f t="shared" si="4"/>
        <v>16.189999999999998</v>
      </c>
    </row>
    <row r="79" spans="1:8">
      <c r="A79" s="1">
        <v>42515</v>
      </c>
      <c r="B79">
        <v>7811.8</v>
      </c>
      <c r="C79">
        <v>7934.9</v>
      </c>
      <c r="D79">
        <f t="shared" si="3"/>
        <v>7873.35</v>
      </c>
      <c r="F79">
        <v>16.22</v>
      </c>
      <c r="G79">
        <v>15.52</v>
      </c>
      <c r="H79">
        <f t="shared" si="4"/>
        <v>15.87</v>
      </c>
    </row>
    <row r="80" spans="1:8">
      <c r="A80" s="1">
        <v>42516</v>
      </c>
      <c r="B80">
        <v>7974.45</v>
      </c>
      <c r="C80">
        <v>8069.65</v>
      </c>
      <c r="D80">
        <f t="shared" si="3"/>
        <v>8022.0499999999993</v>
      </c>
      <c r="F80">
        <v>15.52</v>
      </c>
      <c r="G80">
        <v>15.324999999999999</v>
      </c>
      <c r="H80">
        <f t="shared" si="4"/>
        <v>15.422499999999999</v>
      </c>
    </row>
    <row r="81" spans="1:8">
      <c r="A81" s="1">
        <v>42517</v>
      </c>
      <c r="B81">
        <v>8081.95</v>
      </c>
      <c r="C81">
        <v>8156.65</v>
      </c>
      <c r="D81">
        <f t="shared" si="3"/>
        <v>8119.2999999999993</v>
      </c>
      <c r="F81">
        <v>15.324999999999999</v>
      </c>
      <c r="G81">
        <v>15.26</v>
      </c>
      <c r="H81">
        <f t="shared" si="4"/>
        <v>15.2925</v>
      </c>
    </row>
    <row r="82" spans="1:8">
      <c r="A82" s="1">
        <v>42520</v>
      </c>
      <c r="B82">
        <v>8166.5</v>
      </c>
      <c r="C82">
        <v>8178.5</v>
      </c>
      <c r="D82">
        <f t="shared" si="3"/>
        <v>8172.5</v>
      </c>
      <c r="F82">
        <v>15.26</v>
      </c>
      <c r="G82">
        <v>15.975</v>
      </c>
      <c r="H82">
        <f t="shared" si="4"/>
        <v>15.6175</v>
      </c>
    </row>
    <row r="83" spans="1:8">
      <c r="A83" s="1">
        <v>42521</v>
      </c>
      <c r="B83">
        <v>8209.85</v>
      </c>
      <c r="C83">
        <v>8160.1</v>
      </c>
      <c r="D83">
        <f t="shared" si="3"/>
        <v>8184.9750000000004</v>
      </c>
      <c r="F83">
        <v>15.975</v>
      </c>
      <c r="G83">
        <v>16.045000000000002</v>
      </c>
      <c r="H83">
        <f t="shared" si="4"/>
        <v>16.010000000000002</v>
      </c>
    </row>
    <row r="84" spans="1:8">
      <c r="A84" s="1">
        <v>42522</v>
      </c>
      <c r="B84">
        <v>8179.2</v>
      </c>
      <c r="C84">
        <v>8179.95</v>
      </c>
      <c r="D84">
        <f t="shared" si="3"/>
        <v>8179.5749999999998</v>
      </c>
      <c r="F84">
        <v>16.045000000000002</v>
      </c>
      <c r="G84">
        <v>15.835000000000001</v>
      </c>
      <c r="H84">
        <f t="shared" si="4"/>
        <v>15.940000000000001</v>
      </c>
    </row>
    <row r="85" spans="1:8">
      <c r="A85" s="1">
        <v>42523</v>
      </c>
      <c r="B85">
        <v>8156.9</v>
      </c>
      <c r="C85">
        <v>8218.9500000000007</v>
      </c>
      <c r="D85">
        <f t="shared" si="3"/>
        <v>8187.9250000000002</v>
      </c>
      <c r="F85">
        <v>15.835000000000001</v>
      </c>
      <c r="G85">
        <v>15.0875</v>
      </c>
      <c r="H85">
        <f t="shared" si="4"/>
        <v>15.46125</v>
      </c>
    </row>
    <row r="86" spans="1:8">
      <c r="A86" s="1">
        <v>42524</v>
      </c>
      <c r="B86">
        <v>8246.2000000000007</v>
      </c>
      <c r="C86">
        <v>8220.7999999999993</v>
      </c>
      <c r="D86">
        <f t="shared" si="3"/>
        <v>8233.5</v>
      </c>
      <c r="F86">
        <v>15.0875</v>
      </c>
      <c r="G86">
        <v>14.994999999999999</v>
      </c>
      <c r="H86">
        <f t="shared" si="4"/>
        <v>15.04125</v>
      </c>
    </row>
    <row r="87" spans="1:8">
      <c r="A87" s="1">
        <v>42527</v>
      </c>
      <c r="B87">
        <v>8228.75</v>
      </c>
      <c r="C87">
        <v>8201.0499999999993</v>
      </c>
      <c r="D87">
        <f t="shared" si="3"/>
        <v>8214.9</v>
      </c>
      <c r="F87">
        <v>14.994999999999999</v>
      </c>
      <c r="G87">
        <v>15.355</v>
      </c>
      <c r="H87">
        <f t="shared" si="4"/>
        <v>15.175000000000001</v>
      </c>
    </row>
    <row r="88" spans="1:8">
      <c r="A88" s="1">
        <v>42528</v>
      </c>
      <c r="B88">
        <v>8235.5499999999993</v>
      </c>
      <c r="C88">
        <v>8266.4500000000007</v>
      </c>
      <c r="D88">
        <f t="shared" si="3"/>
        <v>8251</v>
      </c>
      <c r="F88">
        <v>15.355</v>
      </c>
      <c r="G88">
        <v>14.87</v>
      </c>
      <c r="H88">
        <f t="shared" si="4"/>
        <v>15.112500000000001</v>
      </c>
    </row>
    <row r="89" spans="1:8">
      <c r="A89" s="1">
        <v>42529</v>
      </c>
      <c r="B89">
        <v>8285.5</v>
      </c>
      <c r="C89">
        <v>8273.0499999999993</v>
      </c>
      <c r="D89">
        <f t="shared" si="3"/>
        <v>8279.2749999999996</v>
      </c>
      <c r="F89">
        <v>14.87</v>
      </c>
      <c r="G89">
        <v>15.1425</v>
      </c>
      <c r="H89">
        <f t="shared" si="4"/>
        <v>15.00625</v>
      </c>
    </row>
    <row r="90" spans="1:8">
      <c r="A90" s="1">
        <v>42530</v>
      </c>
      <c r="B90">
        <v>8273.35</v>
      </c>
      <c r="C90">
        <v>8203.6</v>
      </c>
      <c r="D90">
        <f t="shared" si="3"/>
        <v>8238.4750000000004</v>
      </c>
      <c r="F90">
        <v>15.1425</v>
      </c>
      <c r="G90">
        <v>15.672499999999999</v>
      </c>
      <c r="H90">
        <f t="shared" si="4"/>
        <v>15.407499999999999</v>
      </c>
    </row>
    <row r="91" spans="1:8">
      <c r="A91" s="1">
        <v>42531</v>
      </c>
      <c r="B91">
        <v>8180.25</v>
      </c>
      <c r="C91">
        <v>8170.05</v>
      </c>
      <c r="D91">
        <f t="shared" si="3"/>
        <v>8175.15</v>
      </c>
      <c r="F91">
        <v>15.672499999999999</v>
      </c>
      <c r="G91">
        <v>15.97</v>
      </c>
      <c r="H91">
        <f t="shared" si="4"/>
        <v>15.821249999999999</v>
      </c>
    </row>
    <row r="92" spans="1:8">
      <c r="A92" s="1">
        <v>42534</v>
      </c>
      <c r="B92">
        <v>8102.25</v>
      </c>
      <c r="C92">
        <v>8110.6</v>
      </c>
      <c r="D92">
        <f t="shared" si="3"/>
        <v>8106.4250000000002</v>
      </c>
      <c r="F92">
        <v>15.97</v>
      </c>
      <c r="G92">
        <v>16.5825</v>
      </c>
      <c r="H92">
        <f t="shared" si="4"/>
        <v>16.276250000000001</v>
      </c>
    </row>
    <row r="93" spans="1:8">
      <c r="A93" s="1">
        <v>42535</v>
      </c>
      <c r="B93">
        <v>8134.4</v>
      </c>
      <c r="C93">
        <v>8108.85</v>
      </c>
      <c r="D93">
        <f t="shared" si="3"/>
        <v>8121.625</v>
      </c>
      <c r="F93">
        <v>16.5825</v>
      </c>
      <c r="G93">
        <v>17.190000000000001</v>
      </c>
      <c r="H93">
        <f t="shared" si="4"/>
        <v>16.88625</v>
      </c>
    </row>
    <row r="94" spans="1:8">
      <c r="A94" s="1">
        <v>42536</v>
      </c>
      <c r="B94">
        <v>8139.4</v>
      </c>
      <c r="C94">
        <v>8206.6</v>
      </c>
      <c r="D94">
        <f t="shared" si="3"/>
        <v>8173</v>
      </c>
      <c r="F94">
        <v>17.190000000000001</v>
      </c>
      <c r="G94">
        <v>17.055</v>
      </c>
      <c r="H94">
        <f t="shared" si="4"/>
        <v>17.122500000000002</v>
      </c>
    </row>
    <row r="95" spans="1:8">
      <c r="A95" s="1">
        <v>42537</v>
      </c>
      <c r="B95">
        <v>8180.65</v>
      </c>
      <c r="C95">
        <v>8140.75</v>
      </c>
      <c r="D95">
        <f t="shared" si="3"/>
        <v>8160.7</v>
      </c>
      <c r="F95">
        <v>17.055</v>
      </c>
      <c r="G95">
        <v>17.697500000000002</v>
      </c>
      <c r="H95">
        <f t="shared" si="4"/>
        <v>17.376249999999999</v>
      </c>
    </row>
    <row r="96" spans="1:8">
      <c r="A96" s="1">
        <v>42538</v>
      </c>
      <c r="B96">
        <v>8176.65</v>
      </c>
      <c r="C96">
        <v>8170.2</v>
      </c>
      <c r="D96">
        <f t="shared" si="3"/>
        <v>8173.4249999999993</v>
      </c>
      <c r="F96">
        <v>17.697500000000002</v>
      </c>
      <c r="G96">
        <v>17.350000000000001</v>
      </c>
      <c r="H96">
        <f t="shared" si="4"/>
        <v>17.52375</v>
      </c>
    </row>
    <row r="97" spans="1:8">
      <c r="A97" s="1">
        <v>42541</v>
      </c>
      <c r="B97">
        <v>8115.75</v>
      </c>
      <c r="C97">
        <v>8238.5</v>
      </c>
      <c r="D97">
        <f t="shared" si="3"/>
        <v>8177.125</v>
      </c>
      <c r="F97">
        <v>17.350000000000001</v>
      </c>
      <c r="G97">
        <v>17.517499999999998</v>
      </c>
      <c r="H97">
        <f t="shared" si="4"/>
        <v>17.43375</v>
      </c>
    </row>
    <row r="98" spans="1:8">
      <c r="A98" s="1">
        <v>42542</v>
      </c>
      <c r="B98">
        <v>8255.4</v>
      </c>
      <c r="C98">
        <v>8219.9</v>
      </c>
      <c r="D98">
        <f t="shared" si="3"/>
        <v>8237.65</v>
      </c>
      <c r="F98">
        <v>17.517499999999998</v>
      </c>
      <c r="G98">
        <v>17.260000000000002</v>
      </c>
      <c r="H98">
        <f t="shared" si="4"/>
        <v>17.388750000000002</v>
      </c>
    </row>
    <row r="99" spans="1:8">
      <c r="A99" s="1">
        <v>42543</v>
      </c>
      <c r="B99">
        <v>8213.65</v>
      </c>
      <c r="C99">
        <v>8203.7000000000007</v>
      </c>
      <c r="D99">
        <f t="shared" si="3"/>
        <v>8208.6749999999993</v>
      </c>
      <c r="F99">
        <v>17.260000000000002</v>
      </c>
      <c r="G99">
        <v>18.184999999999999</v>
      </c>
      <c r="H99">
        <f t="shared" si="4"/>
        <v>17.7225</v>
      </c>
    </row>
    <row r="100" spans="1:8">
      <c r="A100" s="1">
        <v>42544</v>
      </c>
      <c r="B100">
        <v>8201.15</v>
      </c>
      <c r="C100">
        <v>8270.4500000000007</v>
      </c>
      <c r="D100">
        <f t="shared" si="3"/>
        <v>8235.7999999999993</v>
      </c>
      <c r="F100">
        <v>18.184999999999999</v>
      </c>
      <c r="G100">
        <v>18.02</v>
      </c>
      <c r="H100">
        <f t="shared" si="4"/>
        <v>18.102499999999999</v>
      </c>
    </row>
    <row r="101" spans="1:8">
      <c r="A101" s="1">
        <v>42545</v>
      </c>
      <c r="B101">
        <v>8029.1</v>
      </c>
      <c r="C101">
        <v>8088.6</v>
      </c>
      <c r="D101">
        <f t="shared" si="3"/>
        <v>8058.85</v>
      </c>
      <c r="F101">
        <v>18.02</v>
      </c>
      <c r="G101">
        <v>18.627500000000001</v>
      </c>
      <c r="H101">
        <f t="shared" si="4"/>
        <v>18.32375</v>
      </c>
    </row>
    <row r="102" spans="1:8">
      <c r="A102" s="1">
        <v>42548</v>
      </c>
      <c r="B102">
        <v>8039.35</v>
      </c>
      <c r="C102">
        <v>8094.7</v>
      </c>
      <c r="D102">
        <f t="shared" si="3"/>
        <v>8067.0249999999996</v>
      </c>
      <c r="F102">
        <v>18.627500000000001</v>
      </c>
      <c r="G102">
        <v>18.53</v>
      </c>
      <c r="H102">
        <f t="shared" si="4"/>
        <v>18.578749999999999</v>
      </c>
    </row>
    <row r="103" spans="1:8">
      <c r="A103" s="1">
        <v>42549</v>
      </c>
      <c r="B103">
        <v>8096.05</v>
      </c>
      <c r="C103">
        <v>8127.85</v>
      </c>
      <c r="D103">
        <f t="shared" si="3"/>
        <v>8111.9500000000007</v>
      </c>
      <c r="F103">
        <v>18.53</v>
      </c>
      <c r="G103">
        <v>17.725000000000001</v>
      </c>
      <c r="H103">
        <f t="shared" si="4"/>
        <v>18.127500000000001</v>
      </c>
    </row>
    <row r="104" spans="1:8">
      <c r="A104" s="1">
        <v>42550</v>
      </c>
      <c r="B104">
        <v>8173.1</v>
      </c>
      <c r="C104">
        <v>8204</v>
      </c>
      <c r="D104">
        <f t="shared" si="3"/>
        <v>8188.55</v>
      </c>
      <c r="F104">
        <v>17.725000000000001</v>
      </c>
      <c r="G104">
        <v>16.155000000000001</v>
      </c>
      <c r="H104">
        <f t="shared" si="4"/>
        <v>16.940000000000001</v>
      </c>
    </row>
    <row r="105" spans="1:8">
      <c r="A105" s="1">
        <v>42551</v>
      </c>
      <c r="B105">
        <v>8260.25</v>
      </c>
      <c r="C105">
        <v>8287.75</v>
      </c>
      <c r="D105">
        <f t="shared" si="3"/>
        <v>8274</v>
      </c>
      <c r="F105">
        <v>16.155000000000001</v>
      </c>
      <c r="G105">
        <v>16.29</v>
      </c>
      <c r="H105">
        <f t="shared" si="4"/>
        <v>16.2225</v>
      </c>
    </row>
    <row r="106" spans="1:8">
      <c r="A106" s="1">
        <v>42552</v>
      </c>
      <c r="B106">
        <v>8313.0499999999993</v>
      </c>
      <c r="C106">
        <v>8328.35</v>
      </c>
      <c r="D106">
        <f t="shared" si="3"/>
        <v>8320.7000000000007</v>
      </c>
      <c r="F106">
        <v>16.29</v>
      </c>
      <c r="G106">
        <v>15.737500000000001</v>
      </c>
      <c r="H106">
        <f t="shared" si="4"/>
        <v>16.013750000000002</v>
      </c>
    </row>
    <row r="107" spans="1:8">
      <c r="A107" s="1">
        <v>42555</v>
      </c>
      <c r="B107">
        <v>8376.75</v>
      </c>
      <c r="C107">
        <v>8370.7000000000007</v>
      </c>
      <c r="D107">
        <f t="shared" si="3"/>
        <v>8373.7250000000004</v>
      </c>
      <c r="F107">
        <v>15.737500000000001</v>
      </c>
      <c r="G107">
        <v>15.577500000000001</v>
      </c>
      <c r="H107">
        <f t="shared" si="4"/>
        <v>15.657500000000001</v>
      </c>
    </row>
    <row r="108" spans="1:8">
      <c r="A108" s="1">
        <v>42556</v>
      </c>
      <c r="B108">
        <v>8379.2999999999993</v>
      </c>
      <c r="C108">
        <v>8335.9500000000007</v>
      </c>
      <c r="D108">
        <f t="shared" si="3"/>
        <v>8357.625</v>
      </c>
      <c r="F108">
        <v>15.577500000000001</v>
      </c>
      <c r="G108">
        <v>15.362500000000001</v>
      </c>
      <c r="H108">
        <f t="shared" si="4"/>
        <v>15.47</v>
      </c>
    </row>
    <row r="109" spans="1:8">
      <c r="A109" s="1">
        <v>42558</v>
      </c>
      <c r="B109">
        <v>8342</v>
      </c>
      <c r="C109">
        <v>8337.9</v>
      </c>
      <c r="D109">
        <f t="shared" si="3"/>
        <v>8339.9500000000007</v>
      </c>
      <c r="F109">
        <v>15.362500000000001</v>
      </c>
      <c r="G109">
        <v>15.307499999999999</v>
      </c>
      <c r="H109">
        <f t="shared" si="4"/>
        <v>15.335000000000001</v>
      </c>
    </row>
    <row r="110" spans="1:8">
      <c r="A110" s="1">
        <v>42559</v>
      </c>
      <c r="B110">
        <v>8350</v>
      </c>
      <c r="C110">
        <v>8323.2000000000007</v>
      </c>
      <c r="D110">
        <f t="shared" si="3"/>
        <v>8336.6</v>
      </c>
      <c r="F110">
        <v>15.307499999999999</v>
      </c>
      <c r="G110">
        <v>15.0825</v>
      </c>
      <c r="H110">
        <f t="shared" si="4"/>
        <v>15.195</v>
      </c>
    </row>
    <row r="111" spans="1:8">
      <c r="A111" s="1">
        <v>42562</v>
      </c>
      <c r="B111">
        <v>8413.35</v>
      </c>
      <c r="C111">
        <v>8467.9</v>
      </c>
      <c r="D111">
        <f t="shared" si="3"/>
        <v>8440.625</v>
      </c>
      <c r="F111">
        <v>15.0825</v>
      </c>
      <c r="G111">
        <v>14.8475</v>
      </c>
      <c r="H111">
        <f t="shared" si="4"/>
        <v>14.965</v>
      </c>
    </row>
    <row r="112" spans="1:8">
      <c r="A112" s="1">
        <v>42563</v>
      </c>
      <c r="B112">
        <v>8502.6</v>
      </c>
      <c r="C112">
        <v>8521.0499999999993</v>
      </c>
      <c r="D112">
        <f t="shared" si="3"/>
        <v>8511.8250000000007</v>
      </c>
      <c r="F112">
        <v>14.8475</v>
      </c>
      <c r="G112">
        <v>14.782500000000001</v>
      </c>
      <c r="H112">
        <f t="shared" si="4"/>
        <v>14.815000000000001</v>
      </c>
    </row>
    <row r="113" spans="1:8">
      <c r="A113" s="1">
        <v>42564</v>
      </c>
      <c r="B113">
        <v>8540.4500000000007</v>
      </c>
      <c r="C113">
        <v>8519.5</v>
      </c>
      <c r="D113">
        <f t="shared" si="3"/>
        <v>8529.9750000000004</v>
      </c>
      <c r="F113">
        <v>14.782500000000001</v>
      </c>
      <c r="G113">
        <v>15.324999999999999</v>
      </c>
      <c r="H113">
        <f t="shared" si="4"/>
        <v>15.053750000000001</v>
      </c>
    </row>
    <row r="114" spans="1:8">
      <c r="A114" s="1">
        <v>42565</v>
      </c>
      <c r="B114">
        <v>8515.75</v>
      </c>
      <c r="C114">
        <v>8565</v>
      </c>
      <c r="D114">
        <f t="shared" si="3"/>
        <v>8540.375</v>
      </c>
      <c r="F114">
        <v>15.324999999999999</v>
      </c>
      <c r="G114">
        <v>15.61</v>
      </c>
      <c r="H114">
        <f t="shared" si="4"/>
        <v>15.467499999999999</v>
      </c>
    </row>
    <row r="115" spans="1:8">
      <c r="A115" s="1">
        <v>42566</v>
      </c>
      <c r="B115">
        <v>8565.4500000000007</v>
      </c>
      <c r="C115">
        <v>8541.4</v>
      </c>
      <c r="D115">
        <f t="shared" si="3"/>
        <v>8553.4249999999993</v>
      </c>
      <c r="F115">
        <v>15.61</v>
      </c>
      <c r="G115">
        <v>15.637499999999999</v>
      </c>
      <c r="H115">
        <f t="shared" si="4"/>
        <v>15.623749999999999</v>
      </c>
    </row>
    <row r="116" spans="1:8">
      <c r="A116" s="1">
        <v>42569</v>
      </c>
      <c r="B116">
        <v>8564.0499999999993</v>
      </c>
      <c r="C116">
        <v>8508.7000000000007</v>
      </c>
      <c r="D116">
        <f t="shared" si="3"/>
        <v>8536.375</v>
      </c>
      <c r="F116">
        <v>15.637499999999999</v>
      </c>
      <c r="G116">
        <v>15.987500000000001</v>
      </c>
      <c r="H116">
        <f t="shared" si="4"/>
        <v>15.8125</v>
      </c>
    </row>
    <row r="117" spans="1:8">
      <c r="A117" s="1">
        <v>42570</v>
      </c>
      <c r="B117">
        <v>8514.2999999999993</v>
      </c>
      <c r="C117">
        <v>8528.5499999999993</v>
      </c>
      <c r="D117">
        <f t="shared" si="3"/>
        <v>8521.4249999999993</v>
      </c>
      <c r="F117">
        <v>15.987500000000001</v>
      </c>
      <c r="G117">
        <v>15.795</v>
      </c>
      <c r="H117">
        <f t="shared" si="4"/>
        <v>15.891249999999999</v>
      </c>
    </row>
    <row r="118" spans="1:8">
      <c r="A118" s="1">
        <v>42571</v>
      </c>
      <c r="B118">
        <v>8515.4500000000007</v>
      </c>
      <c r="C118">
        <v>8565.85</v>
      </c>
      <c r="D118">
        <f t="shared" si="3"/>
        <v>8540.6500000000015</v>
      </c>
      <c r="F118">
        <v>15.795</v>
      </c>
      <c r="G118">
        <v>15.99</v>
      </c>
      <c r="H118">
        <f t="shared" si="4"/>
        <v>15.8925</v>
      </c>
    </row>
    <row r="119" spans="1:8">
      <c r="A119" s="1">
        <v>42572</v>
      </c>
      <c r="B119">
        <v>8582.7000000000007</v>
      </c>
      <c r="C119">
        <v>8510.1</v>
      </c>
      <c r="D119">
        <f t="shared" si="3"/>
        <v>8546.4000000000015</v>
      </c>
      <c r="F119">
        <v>15.99</v>
      </c>
      <c r="G119">
        <v>15.7125</v>
      </c>
      <c r="H119">
        <f t="shared" si="4"/>
        <v>15.85125</v>
      </c>
    </row>
    <row r="120" spans="1:8">
      <c r="A120" s="1">
        <v>42573</v>
      </c>
      <c r="B120">
        <v>8519.65</v>
      </c>
      <c r="C120">
        <v>8541.2000000000007</v>
      </c>
      <c r="D120">
        <f t="shared" si="3"/>
        <v>8530.4249999999993</v>
      </c>
      <c r="F120">
        <v>15.7125</v>
      </c>
      <c r="G120">
        <v>15.4975</v>
      </c>
      <c r="H120">
        <f t="shared" si="4"/>
        <v>15.605</v>
      </c>
    </row>
    <row r="121" spans="1:8">
      <c r="A121" s="1">
        <v>42576</v>
      </c>
      <c r="B121">
        <v>8519.9500000000007</v>
      </c>
      <c r="C121">
        <v>8635.65</v>
      </c>
      <c r="D121">
        <f t="shared" si="3"/>
        <v>8577.7999999999993</v>
      </c>
      <c r="F121">
        <v>15.4975</v>
      </c>
      <c r="G121">
        <v>15.717499999999999</v>
      </c>
      <c r="H121">
        <f t="shared" si="4"/>
        <v>15.6075</v>
      </c>
    </row>
    <row r="122" spans="1:8">
      <c r="A122" s="1">
        <v>42577</v>
      </c>
      <c r="B122">
        <v>8633.75</v>
      </c>
      <c r="C122">
        <v>8590.65</v>
      </c>
      <c r="D122">
        <f t="shared" si="3"/>
        <v>8612.2000000000007</v>
      </c>
      <c r="F122">
        <v>15.717499999999999</v>
      </c>
      <c r="G122">
        <v>15.62</v>
      </c>
      <c r="H122">
        <f t="shared" si="4"/>
        <v>15.668749999999999</v>
      </c>
    </row>
    <row r="123" spans="1:8">
      <c r="A123" s="1">
        <v>42578</v>
      </c>
      <c r="B123">
        <v>8599.4</v>
      </c>
      <c r="C123">
        <v>8615.7999999999993</v>
      </c>
      <c r="D123">
        <f t="shared" si="3"/>
        <v>8607.5999999999985</v>
      </c>
      <c r="F123">
        <v>15.62</v>
      </c>
      <c r="G123">
        <v>15.4275</v>
      </c>
      <c r="H123">
        <f t="shared" si="4"/>
        <v>15.52375</v>
      </c>
    </row>
    <row r="124" spans="1:8">
      <c r="A124" s="1">
        <v>42579</v>
      </c>
      <c r="B124">
        <v>8636.9500000000007</v>
      </c>
      <c r="C124">
        <v>8666.2999999999993</v>
      </c>
      <c r="D124">
        <f t="shared" si="3"/>
        <v>8651.625</v>
      </c>
      <c r="F124">
        <v>15.4275</v>
      </c>
      <c r="G124">
        <v>15.147500000000001</v>
      </c>
      <c r="H124">
        <f t="shared" si="4"/>
        <v>15.287500000000001</v>
      </c>
    </row>
    <row r="125" spans="1:8">
      <c r="A125" s="1">
        <v>42580</v>
      </c>
      <c r="B125">
        <v>8668.2999999999993</v>
      </c>
      <c r="C125">
        <v>8638.5</v>
      </c>
      <c r="D125">
        <f t="shared" si="3"/>
        <v>8653.4</v>
      </c>
      <c r="F125">
        <v>15.147500000000001</v>
      </c>
      <c r="G125">
        <v>14.9175</v>
      </c>
      <c r="H125">
        <f t="shared" si="4"/>
        <v>15.032500000000001</v>
      </c>
    </row>
    <row r="126" spans="1:8">
      <c r="A126" s="1">
        <v>42583</v>
      </c>
      <c r="B126">
        <v>8654.2999999999993</v>
      </c>
      <c r="C126">
        <v>8636.5499999999993</v>
      </c>
      <c r="D126">
        <f t="shared" si="3"/>
        <v>8645.4249999999993</v>
      </c>
      <c r="F126">
        <v>14.9175</v>
      </c>
      <c r="G126">
        <v>15.18</v>
      </c>
      <c r="H126">
        <f t="shared" si="4"/>
        <v>15.04875</v>
      </c>
    </row>
    <row r="127" spans="1:8">
      <c r="A127" s="1">
        <v>42584</v>
      </c>
      <c r="B127">
        <v>8647.4500000000007</v>
      </c>
      <c r="C127">
        <v>8622.9</v>
      </c>
      <c r="D127">
        <f t="shared" si="3"/>
        <v>8635.1749999999993</v>
      </c>
      <c r="F127">
        <v>15.18</v>
      </c>
      <c r="G127">
        <v>15.692500000000001</v>
      </c>
      <c r="H127">
        <f t="shared" si="4"/>
        <v>15.436250000000001</v>
      </c>
    </row>
    <row r="128" spans="1:8">
      <c r="A128" s="1">
        <v>42585</v>
      </c>
      <c r="B128">
        <v>8635.2000000000007</v>
      </c>
      <c r="C128">
        <v>8544.85</v>
      </c>
      <c r="D128">
        <f t="shared" si="3"/>
        <v>8590.0250000000015</v>
      </c>
      <c r="F128">
        <v>15.692500000000001</v>
      </c>
      <c r="G128">
        <v>16.237500000000001</v>
      </c>
      <c r="H128">
        <f t="shared" si="4"/>
        <v>15.965</v>
      </c>
    </row>
    <row r="129" spans="1:8">
      <c r="A129" s="1">
        <v>42586</v>
      </c>
      <c r="B129">
        <v>8599.9500000000007</v>
      </c>
      <c r="C129">
        <v>8551.1</v>
      </c>
      <c r="D129">
        <f t="shared" si="3"/>
        <v>8575.5250000000015</v>
      </c>
      <c r="F129">
        <v>16.237500000000001</v>
      </c>
      <c r="G129">
        <v>15.14</v>
      </c>
      <c r="H129">
        <f t="shared" si="4"/>
        <v>15.688750000000001</v>
      </c>
    </row>
    <row r="130" spans="1:8">
      <c r="A130" s="1">
        <v>42587</v>
      </c>
      <c r="B130">
        <v>8600.2000000000007</v>
      </c>
      <c r="C130">
        <v>8683.15</v>
      </c>
      <c r="D130">
        <f t="shared" si="3"/>
        <v>8641.6749999999993</v>
      </c>
      <c r="F130">
        <v>15.14</v>
      </c>
      <c r="G130">
        <v>14.352499999999999</v>
      </c>
      <c r="H130">
        <f t="shared" si="4"/>
        <v>14.74625</v>
      </c>
    </row>
    <row r="131" spans="1:8">
      <c r="A131" s="1">
        <v>42590</v>
      </c>
      <c r="B131">
        <v>8712.85</v>
      </c>
      <c r="C131">
        <v>8711.35</v>
      </c>
      <c r="D131">
        <f t="shared" si="3"/>
        <v>8712.1</v>
      </c>
      <c r="F131">
        <v>14.352499999999999</v>
      </c>
      <c r="G131">
        <v>14.5875</v>
      </c>
      <c r="H131">
        <f t="shared" si="4"/>
        <v>14.469999999999999</v>
      </c>
    </row>
    <row r="132" spans="1:8">
      <c r="A132" s="1">
        <v>42591</v>
      </c>
      <c r="B132">
        <v>8727.7999999999993</v>
      </c>
      <c r="C132">
        <v>8678.25</v>
      </c>
      <c r="D132">
        <f t="shared" si="3"/>
        <v>8703.0249999999996</v>
      </c>
      <c r="F132">
        <v>14.5875</v>
      </c>
      <c r="G132">
        <v>14.5375</v>
      </c>
      <c r="H132">
        <f t="shared" si="4"/>
        <v>14.5625</v>
      </c>
    </row>
    <row r="133" spans="1:8">
      <c r="A133" s="1">
        <v>42592</v>
      </c>
      <c r="B133">
        <v>8686.7000000000007</v>
      </c>
      <c r="C133">
        <v>8575.2999999999993</v>
      </c>
      <c r="D133">
        <f t="shared" si="3"/>
        <v>8631</v>
      </c>
      <c r="F133">
        <v>14.5375</v>
      </c>
      <c r="G133">
        <v>14.922499999999999</v>
      </c>
      <c r="H133">
        <f t="shared" si="4"/>
        <v>14.73</v>
      </c>
    </row>
    <row r="134" spans="1:8">
      <c r="A134" s="1">
        <v>42593</v>
      </c>
      <c r="B134">
        <v>8572.7999999999993</v>
      </c>
      <c r="C134">
        <v>8592.15</v>
      </c>
      <c r="D134">
        <f t="shared" si="3"/>
        <v>8582.4749999999985</v>
      </c>
      <c r="F134">
        <v>14.922499999999999</v>
      </c>
      <c r="G134">
        <v>14.2125</v>
      </c>
      <c r="H134">
        <f t="shared" si="4"/>
        <v>14.567499999999999</v>
      </c>
    </row>
    <row r="135" spans="1:8">
      <c r="A135" s="1">
        <v>42594</v>
      </c>
      <c r="B135">
        <v>8605.4500000000007</v>
      </c>
      <c r="C135">
        <v>8672.15</v>
      </c>
      <c r="D135">
        <f t="shared" si="3"/>
        <v>8638.7999999999993</v>
      </c>
      <c r="F135">
        <v>14.2125</v>
      </c>
      <c r="G135">
        <v>13.77</v>
      </c>
      <c r="H135">
        <f t="shared" si="4"/>
        <v>13.991250000000001</v>
      </c>
    </row>
    <row r="136" spans="1:8">
      <c r="A136" s="1">
        <v>42598</v>
      </c>
      <c r="B136">
        <v>8670.25</v>
      </c>
      <c r="C136">
        <v>8642.5499999999993</v>
      </c>
      <c r="D136">
        <f t="shared" ref="D136:D199" si="5">(B136+C136)/2</f>
        <v>8656.4</v>
      </c>
      <c r="F136">
        <v>13.77</v>
      </c>
      <c r="G136">
        <v>14.182499999999999</v>
      </c>
      <c r="H136">
        <f t="shared" ref="H136:H199" si="6">(F136+G136)/2</f>
        <v>13.97625</v>
      </c>
    </row>
    <row r="137" spans="1:8">
      <c r="A137" s="1">
        <v>42599</v>
      </c>
      <c r="B137">
        <v>8639.7999999999993</v>
      </c>
      <c r="C137">
        <v>8624.0499999999993</v>
      </c>
      <c r="D137">
        <f t="shared" si="5"/>
        <v>8631.9249999999993</v>
      </c>
      <c r="F137">
        <v>14.182499999999999</v>
      </c>
      <c r="G137">
        <v>14.78</v>
      </c>
      <c r="H137">
        <f t="shared" si="6"/>
        <v>14.481249999999999</v>
      </c>
    </row>
    <row r="138" spans="1:8">
      <c r="A138" s="1">
        <v>42600</v>
      </c>
      <c r="B138">
        <v>8648.85</v>
      </c>
      <c r="C138">
        <v>8673.25</v>
      </c>
      <c r="D138">
        <f t="shared" si="5"/>
        <v>8661.0499999999993</v>
      </c>
      <c r="F138">
        <v>14.78</v>
      </c>
      <c r="G138">
        <v>14.55</v>
      </c>
      <c r="H138">
        <f t="shared" si="6"/>
        <v>14.664999999999999</v>
      </c>
    </row>
    <row r="139" spans="1:8">
      <c r="A139" s="1">
        <v>42601</v>
      </c>
      <c r="B139">
        <v>8694.2999999999993</v>
      </c>
      <c r="C139">
        <v>8666.9</v>
      </c>
      <c r="D139">
        <f t="shared" si="5"/>
        <v>8680.5999999999985</v>
      </c>
      <c r="F139">
        <v>14.55</v>
      </c>
      <c r="G139">
        <v>14.5375</v>
      </c>
      <c r="H139">
        <f t="shared" si="6"/>
        <v>14.543749999999999</v>
      </c>
    </row>
    <row r="140" spans="1:8">
      <c r="A140" s="1">
        <v>42604</v>
      </c>
      <c r="B140">
        <v>8667</v>
      </c>
      <c r="C140">
        <v>8629.15</v>
      </c>
      <c r="D140">
        <f t="shared" si="5"/>
        <v>8648.0750000000007</v>
      </c>
      <c r="F140">
        <v>14.5375</v>
      </c>
      <c r="G140">
        <v>14.234999999999999</v>
      </c>
      <c r="H140">
        <f t="shared" si="6"/>
        <v>14.38625</v>
      </c>
    </row>
    <row r="141" spans="1:8">
      <c r="A141" s="1">
        <v>42605</v>
      </c>
      <c r="B141">
        <v>8628.35</v>
      </c>
      <c r="C141">
        <v>8632.6</v>
      </c>
      <c r="D141">
        <f t="shared" si="5"/>
        <v>8630.4750000000004</v>
      </c>
      <c r="F141">
        <v>14.234999999999999</v>
      </c>
      <c r="G141">
        <v>13.897500000000001</v>
      </c>
      <c r="H141">
        <f t="shared" si="6"/>
        <v>14.06625</v>
      </c>
    </row>
    <row r="142" spans="1:8">
      <c r="A142" s="1">
        <v>42606</v>
      </c>
      <c r="B142">
        <v>8648.5</v>
      </c>
      <c r="C142">
        <v>8650.2999999999993</v>
      </c>
      <c r="D142">
        <f t="shared" si="5"/>
        <v>8649.4</v>
      </c>
      <c r="F142">
        <v>13.897500000000001</v>
      </c>
      <c r="G142">
        <v>13.487500000000001</v>
      </c>
      <c r="H142">
        <f t="shared" si="6"/>
        <v>13.692500000000001</v>
      </c>
    </row>
    <row r="143" spans="1:8">
      <c r="A143" s="1">
        <v>42607</v>
      </c>
      <c r="B143">
        <v>8668.85</v>
      </c>
      <c r="C143">
        <v>8592.2000000000007</v>
      </c>
      <c r="D143">
        <f t="shared" si="5"/>
        <v>8630.5250000000015</v>
      </c>
      <c r="F143">
        <v>13.487500000000001</v>
      </c>
      <c r="G143">
        <v>13.285</v>
      </c>
      <c r="H143">
        <f t="shared" si="6"/>
        <v>13.38625</v>
      </c>
    </row>
    <row r="144" spans="1:8">
      <c r="A144" s="1">
        <v>42608</v>
      </c>
      <c r="B144">
        <v>8614.35</v>
      </c>
      <c r="C144">
        <v>8572.5499999999993</v>
      </c>
      <c r="D144">
        <f t="shared" si="5"/>
        <v>8593.4500000000007</v>
      </c>
      <c r="F144">
        <v>13.285</v>
      </c>
      <c r="G144">
        <v>13.57</v>
      </c>
      <c r="H144">
        <f t="shared" si="6"/>
        <v>13.4275</v>
      </c>
    </row>
    <row r="145" spans="1:8">
      <c r="A145" s="1">
        <v>42611</v>
      </c>
      <c r="B145">
        <v>8583.75</v>
      </c>
      <c r="C145">
        <v>8607.4500000000007</v>
      </c>
      <c r="D145">
        <f t="shared" si="5"/>
        <v>8595.6</v>
      </c>
      <c r="F145">
        <v>13.57</v>
      </c>
      <c r="G145">
        <v>13.164999999999999</v>
      </c>
      <c r="H145">
        <f t="shared" si="6"/>
        <v>13.3675</v>
      </c>
    </row>
    <row r="146" spans="1:8">
      <c r="A146" s="1">
        <v>42612</v>
      </c>
      <c r="B146">
        <v>8646.75</v>
      </c>
      <c r="C146">
        <v>8744.35</v>
      </c>
      <c r="D146">
        <f t="shared" si="5"/>
        <v>8695.5499999999993</v>
      </c>
      <c r="F146">
        <v>13.164999999999999</v>
      </c>
      <c r="G146">
        <v>13.02</v>
      </c>
      <c r="H146">
        <f t="shared" si="6"/>
        <v>13.092499999999999</v>
      </c>
    </row>
    <row r="147" spans="1:8">
      <c r="A147" s="1">
        <v>42613</v>
      </c>
      <c r="B147">
        <v>8754.0499999999993</v>
      </c>
      <c r="C147">
        <v>8786.2000000000007</v>
      </c>
      <c r="D147">
        <f t="shared" si="5"/>
        <v>8770.125</v>
      </c>
      <c r="F147">
        <v>13.02</v>
      </c>
      <c r="G147">
        <v>13.2425</v>
      </c>
      <c r="H147">
        <f t="shared" si="6"/>
        <v>13.13125</v>
      </c>
    </row>
    <row r="148" spans="1:8">
      <c r="A148" s="1">
        <v>42614</v>
      </c>
      <c r="B148">
        <v>8793.6</v>
      </c>
      <c r="C148">
        <v>8774.65</v>
      </c>
      <c r="D148">
        <f t="shared" si="5"/>
        <v>8784.125</v>
      </c>
      <c r="F148">
        <v>13.2425</v>
      </c>
      <c r="G148">
        <v>13.34</v>
      </c>
      <c r="H148">
        <f t="shared" si="6"/>
        <v>13.29125</v>
      </c>
    </row>
    <row r="149" spans="1:8">
      <c r="A149" s="1">
        <v>42615</v>
      </c>
      <c r="B149">
        <v>8796.35</v>
      </c>
      <c r="C149">
        <v>8809.65</v>
      </c>
      <c r="D149">
        <f t="shared" si="5"/>
        <v>8803</v>
      </c>
      <c r="F149">
        <v>13.34</v>
      </c>
      <c r="G149">
        <v>12.94</v>
      </c>
      <c r="H149">
        <f t="shared" si="6"/>
        <v>13.14</v>
      </c>
    </row>
    <row r="150" spans="1:8">
      <c r="A150" s="1">
        <v>42619</v>
      </c>
      <c r="B150">
        <v>8852.7000000000007</v>
      </c>
      <c r="C150">
        <v>8943</v>
      </c>
      <c r="D150">
        <f t="shared" si="5"/>
        <v>8897.85</v>
      </c>
      <c r="F150">
        <v>12.94</v>
      </c>
      <c r="G150">
        <v>12.75</v>
      </c>
      <c r="H150">
        <f t="shared" si="6"/>
        <v>12.844999999999999</v>
      </c>
    </row>
    <row r="151" spans="1:8">
      <c r="A151" s="1">
        <v>42620</v>
      </c>
      <c r="B151">
        <v>8968.7000000000007</v>
      </c>
      <c r="C151">
        <v>8917.9500000000007</v>
      </c>
      <c r="D151">
        <f t="shared" si="5"/>
        <v>8943.3250000000007</v>
      </c>
      <c r="F151">
        <v>12.75</v>
      </c>
      <c r="G151">
        <v>13.145</v>
      </c>
      <c r="H151">
        <f t="shared" si="6"/>
        <v>12.9475</v>
      </c>
    </row>
    <row r="152" spans="1:8">
      <c r="A152" s="1">
        <v>42621</v>
      </c>
      <c r="B152">
        <v>8915.5</v>
      </c>
      <c r="C152">
        <v>8952.5</v>
      </c>
      <c r="D152">
        <f t="shared" si="5"/>
        <v>8934</v>
      </c>
      <c r="F152">
        <v>13.145</v>
      </c>
      <c r="G152">
        <v>13.115</v>
      </c>
      <c r="H152">
        <f t="shared" si="6"/>
        <v>13.129999999999999</v>
      </c>
    </row>
    <row r="153" spans="1:8">
      <c r="A153" s="1">
        <v>42622</v>
      </c>
      <c r="B153">
        <v>8934.2999999999993</v>
      </c>
      <c r="C153">
        <v>8866.7000000000007</v>
      </c>
      <c r="D153">
        <f t="shared" si="5"/>
        <v>8900.5</v>
      </c>
      <c r="F153">
        <v>13.115</v>
      </c>
      <c r="G153">
        <v>13.23</v>
      </c>
      <c r="H153">
        <f t="shared" si="6"/>
        <v>13.172499999999999</v>
      </c>
    </row>
    <row r="154" spans="1:8">
      <c r="A154" s="1">
        <v>42625</v>
      </c>
      <c r="B154">
        <v>8732.9500000000007</v>
      </c>
      <c r="C154">
        <v>8715.6</v>
      </c>
      <c r="D154">
        <f t="shared" si="5"/>
        <v>8724.2750000000015</v>
      </c>
      <c r="F154">
        <v>13.23</v>
      </c>
      <c r="G154">
        <v>15.24</v>
      </c>
      <c r="H154">
        <f t="shared" si="6"/>
        <v>14.234999999999999</v>
      </c>
    </row>
    <row r="155" spans="1:8">
      <c r="A155" s="1">
        <v>42627</v>
      </c>
      <c r="B155">
        <v>8710.65</v>
      </c>
      <c r="C155">
        <v>8726.6</v>
      </c>
      <c r="D155">
        <f t="shared" si="5"/>
        <v>8718.625</v>
      </c>
      <c r="F155">
        <v>15.24</v>
      </c>
      <c r="G155">
        <v>14.762499999999999</v>
      </c>
      <c r="H155">
        <f t="shared" si="6"/>
        <v>15.001249999999999</v>
      </c>
    </row>
    <row r="156" spans="1:8">
      <c r="A156" s="1">
        <v>42628</v>
      </c>
      <c r="B156">
        <v>8743.85</v>
      </c>
      <c r="C156">
        <v>8742.5499999999993</v>
      </c>
      <c r="D156">
        <f t="shared" si="5"/>
        <v>8743.2000000000007</v>
      </c>
      <c r="F156">
        <v>14.762499999999999</v>
      </c>
      <c r="G156">
        <v>14.6775</v>
      </c>
      <c r="H156">
        <f t="shared" si="6"/>
        <v>14.719999999999999</v>
      </c>
    </row>
    <row r="157" spans="1:8">
      <c r="A157" s="1">
        <v>42629</v>
      </c>
      <c r="B157">
        <v>8780.85</v>
      </c>
      <c r="C157">
        <v>8779.85</v>
      </c>
      <c r="D157">
        <f t="shared" si="5"/>
        <v>8780.35</v>
      </c>
      <c r="F157">
        <v>14.6775</v>
      </c>
      <c r="G157">
        <v>14.58</v>
      </c>
      <c r="H157">
        <f t="shared" si="6"/>
        <v>14.62875</v>
      </c>
    </row>
    <row r="158" spans="1:8">
      <c r="A158" s="1">
        <v>42632</v>
      </c>
      <c r="B158">
        <v>8788.4500000000007</v>
      </c>
      <c r="C158">
        <v>8808.4</v>
      </c>
      <c r="D158">
        <f t="shared" si="5"/>
        <v>8798.4249999999993</v>
      </c>
      <c r="F158">
        <v>14.58</v>
      </c>
      <c r="G158">
        <v>14.94</v>
      </c>
      <c r="H158">
        <f t="shared" si="6"/>
        <v>14.76</v>
      </c>
    </row>
    <row r="159" spans="1:8">
      <c r="A159" s="1">
        <v>42633</v>
      </c>
      <c r="B159">
        <v>8816.1</v>
      </c>
      <c r="C159">
        <v>8775.9</v>
      </c>
      <c r="D159">
        <f t="shared" si="5"/>
        <v>8796</v>
      </c>
      <c r="F159">
        <v>14.94</v>
      </c>
      <c r="G159">
        <v>14.78</v>
      </c>
      <c r="H159">
        <f t="shared" si="6"/>
        <v>14.86</v>
      </c>
    </row>
    <row r="160" spans="1:8">
      <c r="A160" s="1">
        <v>42634</v>
      </c>
      <c r="B160">
        <v>8790.2999999999993</v>
      </c>
      <c r="C160">
        <v>8777.15</v>
      </c>
      <c r="D160">
        <f t="shared" si="5"/>
        <v>8783.7249999999985</v>
      </c>
      <c r="F160">
        <v>14.78</v>
      </c>
      <c r="G160">
        <v>14.805</v>
      </c>
      <c r="H160">
        <f t="shared" si="6"/>
        <v>14.7925</v>
      </c>
    </row>
    <row r="161" spans="1:8">
      <c r="A161" s="1">
        <v>42635</v>
      </c>
      <c r="B161">
        <v>8873.35</v>
      </c>
      <c r="C161">
        <v>8867.4500000000007</v>
      </c>
      <c r="D161">
        <f t="shared" si="5"/>
        <v>8870.4000000000015</v>
      </c>
      <c r="F161">
        <v>14.805</v>
      </c>
      <c r="G161">
        <v>13.34</v>
      </c>
      <c r="H161">
        <f t="shared" si="6"/>
        <v>14.0725</v>
      </c>
    </row>
    <row r="162" spans="1:8">
      <c r="A162" s="1">
        <v>42636</v>
      </c>
      <c r="B162">
        <v>8880.75</v>
      </c>
      <c r="C162">
        <v>8831.5499999999993</v>
      </c>
      <c r="D162">
        <f t="shared" si="5"/>
        <v>8856.15</v>
      </c>
      <c r="F162">
        <v>13.34</v>
      </c>
      <c r="G162">
        <v>13.2475</v>
      </c>
      <c r="H162">
        <f t="shared" si="6"/>
        <v>13.293749999999999</v>
      </c>
    </row>
    <row r="163" spans="1:8">
      <c r="A163" s="1">
        <v>42639</v>
      </c>
      <c r="B163">
        <v>8807.9</v>
      </c>
      <c r="C163">
        <v>8723.0499999999993</v>
      </c>
      <c r="D163">
        <f t="shared" si="5"/>
        <v>8765.4749999999985</v>
      </c>
      <c r="F163">
        <v>13.2475</v>
      </c>
      <c r="G163">
        <v>14.565</v>
      </c>
      <c r="H163">
        <f t="shared" si="6"/>
        <v>13.90625</v>
      </c>
    </row>
    <row r="164" spans="1:8">
      <c r="A164" s="1">
        <v>42640</v>
      </c>
      <c r="B164">
        <v>8748.9</v>
      </c>
      <c r="C164">
        <v>8706.4</v>
      </c>
      <c r="D164">
        <f t="shared" si="5"/>
        <v>8727.65</v>
      </c>
      <c r="F164">
        <v>14.565</v>
      </c>
      <c r="G164">
        <v>14.25</v>
      </c>
      <c r="H164">
        <f t="shared" si="6"/>
        <v>14.407499999999999</v>
      </c>
    </row>
    <row r="165" spans="1:8">
      <c r="A165" s="1">
        <v>42641</v>
      </c>
      <c r="B165">
        <v>8711.2000000000007</v>
      </c>
      <c r="C165">
        <v>8745.15</v>
      </c>
      <c r="D165">
        <f t="shared" si="5"/>
        <v>8728.1749999999993</v>
      </c>
      <c r="F165">
        <v>14.25</v>
      </c>
      <c r="G165">
        <v>13.8475</v>
      </c>
      <c r="H165">
        <f t="shared" si="6"/>
        <v>14.04875</v>
      </c>
    </row>
    <row r="166" spans="1:8">
      <c r="A166" s="1">
        <v>42642</v>
      </c>
      <c r="B166">
        <v>8792.7000000000007</v>
      </c>
      <c r="C166">
        <v>8591.25</v>
      </c>
      <c r="D166">
        <f t="shared" si="5"/>
        <v>8691.9750000000004</v>
      </c>
      <c r="F166">
        <v>13.8475</v>
      </c>
      <c r="G166">
        <v>18.45</v>
      </c>
      <c r="H166">
        <f t="shared" si="6"/>
        <v>16.14875</v>
      </c>
    </row>
    <row r="167" spans="1:8">
      <c r="A167" s="1">
        <v>42643</v>
      </c>
      <c r="B167">
        <v>8581.5</v>
      </c>
      <c r="C167">
        <v>8611.15</v>
      </c>
      <c r="D167">
        <f t="shared" si="5"/>
        <v>8596.3250000000007</v>
      </c>
      <c r="F167">
        <v>18.45</v>
      </c>
      <c r="G167">
        <v>17.18</v>
      </c>
      <c r="H167">
        <f t="shared" si="6"/>
        <v>17.814999999999998</v>
      </c>
    </row>
    <row r="168" spans="1:8">
      <c r="A168" s="1">
        <v>42646</v>
      </c>
      <c r="B168">
        <v>8666.15</v>
      </c>
      <c r="C168">
        <v>8738.1</v>
      </c>
      <c r="D168">
        <f t="shared" si="5"/>
        <v>8702.125</v>
      </c>
      <c r="F168">
        <v>17.18</v>
      </c>
      <c r="G168">
        <v>15.62</v>
      </c>
      <c r="H168">
        <f t="shared" si="6"/>
        <v>16.399999999999999</v>
      </c>
    </row>
    <row r="169" spans="1:8">
      <c r="A169" s="1">
        <v>42647</v>
      </c>
      <c r="B169">
        <v>8770</v>
      </c>
      <c r="C169">
        <v>8769.15</v>
      </c>
      <c r="D169">
        <f t="shared" si="5"/>
        <v>8769.5750000000007</v>
      </c>
      <c r="F169">
        <v>15.62</v>
      </c>
      <c r="G169">
        <v>14.9925</v>
      </c>
      <c r="H169">
        <f t="shared" si="6"/>
        <v>15.306249999999999</v>
      </c>
    </row>
    <row r="170" spans="1:8">
      <c r="A170" s="1">
        <v>42648</v>
      </c>
      <c r="B170">
        <v>8806.35</v>
      </c>
      <c r="C170">
        <v>8743.9500000000007</v>
      </c>
      <c r="D170">
        <f t="shared" si="5"/>
        <v>8775.1500000000015</v>
      </c>
      <c r="F170">
        <v>14.9925</v>
      </c>
      <c r="G170">
        <v>14.925000000000001</v>
      </c>
      <c r="H170">
        <f t="shared" si="6"/>
        <v>14.95875</v>
      </c>
    </row>
    <row r="171" spans="1:8">
      <c r="A171" s="1">
        <v>42649</v>
      </c>
      <c r="B171">
        <v>8768.7000000000007</v>
      </c>
      <c r="C171">
        <v>8709.5499999999993</v>
      </c>
      <c r="D171">
        <f t="shared" si="5"/>
        <v>8739.125</v>
      </c>
      <c r="F171">
        <v>14.925000000000001</v>
      </c>
      <c r="G171">
        <v>14.835000000000001</v>
      </c>
      <c r="H171">
        <f t="shared" si="6"/>
        <v>14.88</v>
      </c>
    </row>
    <row r="172" spans="1:8">
      <c r="A172" s="1">
        <v>42650</v>
      </c>
      <c r="B172">
        <v>8721.7000000000007</v>
      </c>
      <c r="C172">
        <v>8697.6</v>
      </c>
      <c r="D172">
        <f t="shared" si="5"/>
        <v>8709.6500000000015</v>
      </c>
      <c r="F172">
        <v>14.835000000000001</v>
      </c>
      <c r="G172">
        <v>14.484999999999999</v>
      </c>
      <c r="H172">
        <f t="shared" si="6"/>
        <v>14.66</v>
      </c>
    </row>
    <row r="173" spans="1:8">
      <c r="A173" s="1">
        <v>42653</v>
      </c>
      <c r="B173">
        <v>8735.35</v>
      </c>
      <c r="C173">
        <v>8708.7999999999993</v>
      </c>
      <c r="D173">
        <f t="shared" si="5"/>
        <v>8722.0750000000007</v>
      </c>
      <c r="F173">
        <v>14.484999999999999</v>
      </c>
      <c r="G173">
        <v>14.285</v>
      </c>
      <c r="H173">
        <f t="shared" si="6"/>
        <v>14.385</v>
      </c>
    </row>
    <row r="174" spans="1:8">
      <c r="A174" s="1">
        <v>42656</v>
      </c>
      <c r="B174">
        <v>8671.5</v>
      </c>
      <c r="C174">
        <v>8573.35</v>
      </c>
      <c r="D174">
        <f t="shared" si="5"/>
        <v>8622.4249999999993</v>
      </c>
      <c r="F174">
        <v>14.285</v>
      </c>
      <c r="G174">
        <v>15.425000000000001</v>
      </c>
      <c r="H174">
        <f t="shared" si="6"/>
        <v>14.855</v>
      </c>
    </row>
    <row r="175" spans="1:8">
      <c r="A175" s="1">
        <v>42657</v>
      </c>
      <c r="B175">
        <v>8594</v>
      </c>
      <c r="C175">
        <v>8583.4</v>
      </c>
      <c r="D175">
        <f t="shared" si="5"/>
        <v>8588.7000000000007</v>
      </c>
      <c r="F175">
        <v>15.425000000000001</v>
      </c>
      <c r="G175">
        <v>14.887499999999999</v>
      </c>
      <c r="H175">
        <f t="shared" si="6"/>
        <v>15.15625</v>
      </c>
    </row>
    <row r="176" spans="1:8">
      <c r="A176" s="1">
        <v>42660</v>
      </c>
      <c r="B176">
        <v>8612.9500000000007</v>
      </c>
      <c r="C176">
        <v>8520.4</v>
      </c>
      <c r="D176">
        <f t="shared" si="5"/>
        <v>8566.6749999999993</v>
      </c>
      <c r="F176">
        <v>14.887499999999999</v>
      </c>
      <c r="G176">
        <v>15.654999999999999</v>
      </c>
      <c r="H176">
        <f t="shared" si="6"/>
        <v>15.271249999999998</v>
      </c>
    </row>
    <row r="177" spans="1:8">
      <c r="A177" s="1">
        <v>42661</v>
      </c>
      <c r="B177">
        <v>8556.0499999999993</v>
      </c>
      <c r="C177">
        <v>8677.9</v>
      </c>
      <c r="D177">
        <f t="shared" si="5"/>
        <v>8616.9749999999985</v>
      </c>
      <c r="F177">
        <v>15.654999999999999</v>
      </c>
      <c r="G177">
        <v>14.5375</v>
      </c>
      <c r="H177">
        <f t="shared" si="6"/>
        <v>15.09625</v>
      </c>
    </row>
    <row r="178" spans="1:8">
      <c r="A178" s="1">
        <v>42662</v>
      </c>
      <c r="B178">
        <v>8697.5</v>
      </c>
      <c r="C178">
        <v>8659.1</v>
      </c>
      <c r="D178">
        <f t="shared" si="5"/>
        <v>8678.2999999999993</v>
      </c>
      <c r="F178">
        <v>14.5375</v>
      </c>
      <c r="G178">
        <v>14.612500000000001</v>
      </c>
      <c r="H178">
        <f t="shared" si="6"/>
        <v>14.574999999999999</v>
      </c>
    </row>
    <row r="179" spans="1:8">
      <c r="A179" s="1">
        <v>42663</v>
      </c>
      <c r="B179">
        <v>8693.35</v>
      </c>
      <c r="C179">
        <v>8699.4</v>
      </c>
      <c r="D179">
        <f t="shared" si="5"/>
        <v>8696.375</v>
      </c>
      <c r="F179">
        <v>14.612500000000001</v>
      </c>
      <c r="G179">
        <v>14.164999999999999</v>
      </c>
      <c r="H179">
        <f t="shared" si="6"/>
        <v>14.38875</v>
      </c>
    </row>
    <row r="180" spans="1:8">
      <c r="A180" s="1">
        <v>42664</v>
      </c>
      <c r="B180">
        <v>8708.6</v>
      </c>
      <c r="C180">
        <v>8693.0499999999993</v>
      </c>
      <c r="D180">
        <f t="shared" si="5"/>
        <v>8700.8250000000007</v>
      </c>
      <c r="F180">
        <v>14.164999999999999</v>
      </c>
      <c r="G180">
        <v>13.83</v>
      </c>
      <c r="H180">
        <f t="shared" si="6"/>
        <v>13.997499999999999</v>
      </c>
    </row>
    <row r="181" spans="1:8">
      <c r="A181" s="1">
        <v>42667</v>
      </c>
      <c r="B181">
        <v>8709.85</v>
      </c>
      <c r="C181">
        <v>8708.9500000000007</v>
      </c>
      <c r="D181">
        <f t="shared" si="5"/>
        <v>8709.4000000000015</v>
      </c>
      <c r="F181">
        <v>13.83</v>
      </c>
      <c r="G181">
        <v>14.3325</v>
      </c>
      <c r="H181">
        <f t="shared" si="6"/>
        <v>14.081250000000001</v>
      </c>
    </row>
    <row r="182" spans="1:8">
      <c r="A182" s="1">
        <v>42668</v>
      </c>
      <c r="B182">
        <v>8721.7000000000007</v>
      </c>
      <c r="C182">
        <v>8691.2999999999993</v>
      </c>
      <c r="D182">
        <f t="shared" si="5"/>
        <v>8706.5</v>
      </c>
      <c r="F182">
        <v>14.3325</v>
      </c>
      <c r="G182">
        <v>14.4825</v>
      </c>
      <c r="H182">
        <f t="shared" si="6"/>
        <v>14.407499999999999</v>
      </c>
    </row>
    <row r="183" spans="1:8">
      <c r="A183" s="1">
        <v>42669</v>
      </c>
      <c r="B183">
        <v>8657.2999999999993</v>
      </c>
      <c r="C183">
        <v>8615.25</v>
      </c>
      <c r="D183">
        <f t="shared" si="5"/>
        <v>8636.2749999999996</v>
      </c>
      <c r="F183">
        <v>14.4825</v>
      </c>
      <c r="G183">
        <v>14.452500000000001</v>
      </c>
      <c r="H183">
        <f t="shared" si="6"/>
        <v>14.467500000000001</v>
      </c>
    </row>
    <row r="184" spans="1:8">
      <c r="A184" s="1">
        <v>42670</v>
      </c>
      <c r="B184">
        <v>8607.1</v>
      </c>
      <c r="C184">
        <v>8615.25</v>
      </c>
      <c r="D184">
        <f t="shared" si="5"/>
        <v>8611.1749999999993</v>
      </c>
      <c r="F184">
        <v>14.452500000000001</v>
      </c>
      <c r="G184">
        <v>14.085000000000001</v>
      </c>
      <c r="H184">
        <f t="shared" si="6"/>
        <v>14.268750000000001</v>
      </c>
    </row>
    <row r="185" spans="1:8">
      <c r="A185" s="1">
        <v>42671</v>
      </c>
      <c r="B185">
        <v>8625</v>
      </c>
      <c r="C185">
        <v>8638</v>
      </c>
      <c r="D185">
        <f t="shared" si="5"/>
        <v>8631.5</v>
      </c>
      <c r="F185">
        <v>14.085000000000001</v>
      </c>
      <c r="G185">
        <v>14.6525</v>
      </c>
      <c r="H185">
        <f t="shared" si="6"/>
        <v>14.36875</v>
      </c>
    </row>
    <row r="186" spans="1:8">
      <c r="A186" s="1">
        <v>42673</v>
      </c>
      <c r="B186">
        <v>8672.35</v>
      </c>
      <c r="C186">
        <v>8625.7000000000007</v>
      </c>
      <c r="D186">
        <f t="shared" si="5"/>
        <v>8649.0250000000015</v>
      </c>
      <c r="F186">
        <v>14.6525</v>
      </c>
      <c r="G186">
        <v>15.49</v>
      </c>
      <c r="H186">
        <f t="shared" si="6"/>
        <v>15.071249999999999</v>
      </c>
    </row>
    <row r="187" spans="1:8">
      <c r="A187" s="1">
        <v>42675</v>
      </c>
      <c r="B187">
        <v>8653.15</v>
      </c>
      <c r="C187">
        <v>8626.25</v>
      </c>
      <c r="D187">
        <f t="shared" si="5"/>
        <v>8639.7000000000007</v>
      </c>
      <c r="F187">
        <v>15.49</v>
      </c>
      <c r="G187">
        <v>15.734999999999999</v>
      </c>
      <c r="H187">
        <f t="shared" si="6"/>
        <v>15.612500000000001</v>
      </c>
    </row>
    <row r="188" spans="1:8">
      <c r="A188" s="1">
        <v>42676</v>
      </c>
      <c r="B188">
        <v>8542.7999999999993</v>
      </c>
      <c r="C188">
        <v>8514</v>
      </c>
      <c r="D188">
        <f t="shared" si="5"/>
        <v>8528.4</v>
      </c>
      <c r="F188">
        <v>15.734999999999999</v>
      </c>
      <c r="G188">
        <v>16.797499999999999</v>
      </c>
      <c r="H188">
        <f t="shared" si="6"/>
        <v>16.266249999999999</v>
      </c>
    </row>
    <row r="189" spans="1:8">
      <c r="A189" s="1">
        <v>42677</v>
      </c>
      <c r="B189">
        <v>8499.85</v>
      </c>
      <c r="C189">
        <v>8484.9500000000007</v>
      </c>
      <c r="D189">
        <f t="shared" si="5"/>
        <v>8492.4000000000015</v>
      </c>
      <c r="F189">
        <v>16.797499999999999</v>
      </c>
      <c r="G189">
        <v>16.465</v>
      </c>
      <c r="H189">
        <f t="shared" si="6"/>
        <v>16.631250000000001</v>
      </c>
    </row>
    <row r="190" spans="1:8">
      <c r="A190" s="1">
        <v>42678</v>
      </c>
      <c r="B190">
        <v>8503.6</v>
      </c>
      <c r="C190">
        <v>8433.75</v>
      </c>
      <c r="D190">
        <f t="shared" si="5"/>
        <v>8468.6749999999993</v>
      </c>
      <c r="F190">
        <v>16.465</v>
      </c>
      <c r="G190">
        <v>16.8475</v>
      </c>
      <c r="H190">
        <f t="shared" si="6"/>
        <v>16.65625</v>
      </c>
    </row>
    <row r="191" spans="1:8">
      <c r="A191" s="1">
        <v>42681</v>
      </c>
      <c r="B191">
        <v>8535.75</v>
      </c>
      <c r="C191">
        <v>8497.0499999999993</v>
      </c>
      <c r="D191">
        <f t="shared" si="5"/>
        <v>8516.4</v>
      </c>
      <c r="F191">
        <v>16.8475</v>
      </c>
      <c r="G191">
        <v>16.5075</v>
      </c>
      <c r="H191">
        <f t="shared" si="6"/>
        <v>16.677500000000002</v>
      </c>
    </row>
    <row r="192" spans="1:8">
      <c r="A192" s="1">
        <v>42682</v>
      </c>
      <c r="B192">
        <v>8540</v>
      </c>
      <c r="C192">
        <v>8543.5499999999993</v>
      </c>
      <c r="D192">
        <f t="shared" si="5"/>
        <v>8541.7749999999996</v>
      </c>
      <c r="F192">
        <v>16.5075</v>
      </c>
      <c r="G192">
        <v>16.77</v>
      </c>
      <c r="H192">
        <f t="shared" si="6"/>
        <v>16.638750000000002</v>
      </c>
    </row>
    <row r="193" spans="1:8">
      <c r="A193" s="1">
        <v>42683</v>
      </c>
      <c r="B193">
        <v>8067.5</v>
      </c>
      <c r="C193">
        <v>8432</v>
      </c>
      <c r="D193">
        <f t="shared" si="5"/>
        <v>8249.75</v>
      </c>
      <c r="F193">
        <v>16.77</v>
      </c>
      <c r="G193">
        <v>16.62</v>
      </c>
      <c r="H193">
        <f t="shared" si="6"/>
        <v>16.695</v>
      </c>
    </row>
    <row r="194" spans="1:8">
      <c r="A194" s="1">
        <v>42684</v>
      </c>
      <c r="B194">
        <v>8555.6</v>
      </c>
      <c r="C194">
        <v>8525.75</v>
      </c>
      <c r="D194">
        <f t="shared" si="5"/>
        <v>8540.6749999999993</v>
      </c>
      <c r="F194">
        <v>16.62</v>
      </c>
      <c r="G194">
        <v>15.4575</v>
      </c>
      <c r="H194">
        <f t="shared" si="6"/>
        <v>16.03875</v>
      </c>
    </row>
    <row r="195" spans="1:8">
      <c r="A195" s="1">
        <v>42685</v>
      </c>
      <c r="B195">
        <v>8456.65</v>
      </c>
      <c r="C195">
        <v>8296.2999999999993</v>
      </c>
      <c r="D195">
        <f t="shared" si="5"/>
        <v>8376.4749999999985</v>
      </c>
      <c r="F195">
        <v>15.4575</v>
      </c>
      <c r="G195">
        <v>17.364999999999998</v>
      </c>
      <c r="H195">
        <f t="shared" si="6"/>
        <v>16.411249999999999</v>
      </c>
    </row>
    <row r="196" spans="1:8">
      <c r="A196" s="1">
        <v>42689</v>
      </c>
      <c r="B196">
        <v>8284.85</v>
      </c>
      <c r="C196">
        <v>8108.45</v>
      </c>
      <c r="D196">
        <f t="shared" si="5"/>
        <v>8196.65</v>
      </c>
      <c r="F196">
        <v>17.364999999999998</v>
      </c>
      <c r="G196">
        <v>20.145</v>
      </c>
      <c r="H196">
        <f t="shared" si="6"/>
        <v>18.754999999999999</v>
      </c>
    </row>
    <row r="197" spans="1:8">
      <c r="A197" s="1">
        <v>42690</v>
      </c>
      <c r="B197">
        <v>8205.65</v>
      </c>
      <c r="C197">
        <v>8111.6</v>
      </c>
      <c r="D197">
        <f t="shared" si="5"/>
        <v>8158.625</v>
      </c>
      <c r="F197">
        <v>20.145</v>
      </c>
      <c r="G197">
        <v>19.502500000000001</v>
      </c>
      <c r="H197">
        <f t="shared" si="6"/>
        <v>19.82375</v>
      </c>
    </row>
    <row r="198" spans="1:8">
      <c r="A198" s="1">
        <v>42691</v>
      </c>
      <c r="B198">
        <v>8105.1</v>
      </c>
      <c r="C198">
        <v>8079.95</v>
      </c>
      <c r="D198">
        <f t="shared" si="5"/>
        <v>8092.5249999999996</v>
      </c>
      <c r="F198">
        <v>19.502500000000001</v>
      </c>
      <c r="G198">
        <v>18.71</v>
      </c>
      <c r="H198">
        <f t="shared" si="6"/>
        <v>19.106250000000003</v>
      </c>
    </row>
    <row r="199" spans="1:8">
      <c r="A199" s="1">
        <v>42692</v>
      </c>
      <c r="B199">
        <v>8097.55</v>
      </c>
      <c r="C199">
        <v>8074.1</v>
      </c>
      <c r="D199">
        <f t="shared" si="5"/>
        <v>8085.8250000000007</v>
      </c>
      <c r="F199">
        <v>18.71</v>
      </c>
      <c r="G199">
        <v>17.805</v>
      </c>
      <c r="H199">
        <f t="shared" si="6"/>
        <v>18.2575</v>
      </c>
    </row>
    <row r="200" spans="1:8">
      <c r="A200" s="1">
        <v>42695</v>
      </c>
      <c r="B200">
        <v>8102.1</v>
      </c>
      <c r="C200">
        <v>7929.1</v>
      </c>
      <c r="D200">
        <f t="shared" ref="D200:D252" si="7">(B200+C200)/2</f>
        <v>8015.6</v>
      </c>
      <c r="F200">
        <v>17.805</v>
      </c>
      <c r="G200">
        <v>19.0975</v>
      </c>
      <c r="H200">
        <f t="shared" ref="H200:H252" si="8">(F200+G200)/2</f>
        <v>18.451250000000002</v>
      </c>
    </row>
    <row r="201" spans="1:8">
      <c r="A201" s="1">
        <v>42696</v>
      </c>
      <c r="B201">
        <v>7989.15</v>
      </c>
      <c r="C201">
        <v>8002.3</v>
      </c>
      <c r="D201">
        <f t="shared" si="7"/>
        <v>7995.7250000000004</v>
      </c>
      <c r="F201">
        <v>19.0975</v>
      </c>
      <c r="G201">
        <v>18.465</v>
      </c>
      <c r="H201">
        <f t="shared" si="8"/>
        <v>18.78125</v>
      </c>
    </row>
    <row r="202" spans="1:8">
      <c r="A202" s="1">
        <v>42697</v>
      </c>
      <c r="B202">
        <v>8051.2</v>
      </c>
      <c r="C202">
        <v>8033.3</v>
      </c>
      <c r="D202">
        <f t="shared" si="7"/>
        <v>8042.25</v>
      </c>
      <c r="F202">
        <v>18.465</v>
      </c>
      <c r="G202">
        <v>18.04</v>
      </c>
      <c r="H202">
        <f t="shared" si="8"/>
        <v>18.252499999999998</v>
      </c>
    </row>
    <row r="203" spans="1:8">
      <c r="A203" s="1">
        <v>42698</v>
      </c>
      <c r="B203">
        <v>8011.8</v>
      </c>
      <c r="C203">
        <v>7965.5</v>
      </c>
      <c r="D203">
        <f t="shared" si="7"/>
        <v>7988.65</v>
      </c>
      <c r="F203">
        <v>18.04</v>
      </c>
      <c r="G203">
        <v>17.16</v>
      </c>
      <c r="H203">
        <f t="shared" si="8"/>
        <v>17.600000000000001</v>
      </c>
    </row>
    <row r="204" spans="1:8">
      <c r="A204" s="1">
        <v>42699</v>
      </c>
      <c r="B204">
        <v>8007.95</v>
      </c>
      <c r="C204">
        <v>8114.3</v>
      </c>
      <c r="D204">
        <f t="shared" si="7"/>
        <v>8061.125</v>
      </c>
      <c r="F204">
        <v>17.16</v>
      </c>
      <c r="G204">
        <v>17.612500000000001</v>
      </c>
      <c r="H204">
        <f t="shared" si="8"/>
        <v>17.38625</v>
      </c>
    </row>
    <row r="205" spans="1:8">
      <c r="A205" s="1">
        <v>42702</v>
      </c>
      <c r="B205">
        <v>8080.65</v>
      </c>
      <c r="C205">
        <v>8126.9</v>
      </c>
      <c r="D205">
        <f t="shared" si="7"/>
        <v>8103.7749999999996</v>
      </c>
      <c r="F205">
        <v>17.612500000000001</v>
      </c>
      <c r="G205">
        <v>18.055</v>
      </c>
      <c r="H205">
        <f t="shared" si="8"/>
        <v>17.833750000000002</v>
      </c>
    </row>
    <row r="206" spans="1:8">
      <c r="A206" s="1">
        <v>42703</v>
      </c>
      <c r="B206">
        <v>8131.55</v>
      </c>
      <c r="C206">
        <v>8142.15</v>
      </c>
      <c r="D206">
        <f t="shared" si="7"/>
        <v>8136.85</v>
      </c>
      <c r="F206">
        <v>18.055</v>
      </c>
      <c r="G206">
        <v>17.7075</v>
      </c>
      <c r="H206">
        <f t="shared" si="8"/>
        <v>17.881250000000001</v>
      </c>
    </row>
    <row r="207" spans="1:8">
      <c r="A207" s="1">
        <v>42704</v>
      </c>
      <c r="B207">
        <v>8172.15</v>
      </c>
      <c r="C207">
        <v>8224.5</v>
      </c>
      <c r="D207">
        <f t="shared" si="7"/>
        <v>8198.3250000000007</v>
      </c>
      <c r="F207">
        <v>17.7075</v>
      </c>
      <c r="G207">
        <v>16.850000000000001</v>
      </c>
      <c r="H207">
        <f t="shared" si="8"/>
        <v>17.278750000000002</v>
      </c>
    </row>
    <row r="208" spans="1:8">
      <c r="A208" s="1">
        <v>42705</v>
      </c>
      <c r="B208">
        <v>8244</v>
      </c>
      <c r="C208">
        <v>8192.9</v>
      </c>
      <c r="D208">
        <f t="shared" si="7"/>
        <v>8218.4500000000007</v>
      </c>
      <c r="F208">
        <v>16.850000000000001</v>
      </c>
      <c r="G208">
        <v>16.6875</v>
      </c>
      <c r="H208">
        <f t="shared" si="8"/>
        <v>16.768750000000001</v>
      </c>
    </row>
    <row r="209" spans="1:8">
      <c r="A209" s="1">
        <v>42706</v>
      </c>
      <c r="B209">
        <v>8153.55</v>
      </c>
      <c r="C209">
        <v>8086.8</v>
      </c>
      <c r="D209">
        <f t="shared" si="7"/>
        <v>8120.1750000000002</v>
      </c>
      <c r="F209">
        <v>16.6875</v>
      </c>
      <c r="G209">
        <v>17.932500000000001</v>
      </c>
      <c r="H209">
        <f t="shared" si="8"/>
        <v>17.310000000000002</v>
      </c>
    </row>
    <row r="210" spans="1:8">
      <c r="A210" s="1">
        <v>42709</v>
      </c>
      <c r="B210">
        <v>8088.75</v>
      </c>
      <c r="C210">
        <v>8128.75</v>
      </c>
      <c r="D210">
        <f t="shared" si="7"/>
        <v>8108.75</v>
      </c>
      <c r="F210">
        <v>17.932500000000001</v>
      </c>
      <c r="G210">
        <v>17.287500000000001</v>
      </c>
      <c r="H210">
        <f t="shared" si="8"/>
        <v>17.61</v>
      </c>
    </row>
    <row r="211" spans="1:8">
      <c r="A211" s="1">
        <v>42710</v>
      </c>
      <c r="B211">
        <v>8153.15</v>
      </c>
      <c r="C211">
        <v>8143.15</v>
      </c>
      <c r="D211">
        <f t="shared" si="7"/>
        <v>8148.15</v>
      </c>
      <c r="F211">
        <v>17.287500000000001</v>
      </c>
      <c r="G211">
        <v>17.105</v>
      </c>
      <c r="H211">
        <f t="shared" si="8"/>
        <v>17.196249999999999</v>
      </c>
    </row>
    <row r="212" spans="1:8">
      <c r="A212" s="1">
        <v>42711</v>
      </c>
      <c r="B212">
        <v>8168.4</v>
      </c>
      <c r="C212">
        <v>8102.05</v>
      </c>
      <c r="D212">
        <f t="shared" si="7"/>
        <v>8135.2250000000004</v>
      </c>
      <c r="F212">
        <v>17.105</v>
      </c>
      <c r="G212">
        <v>16.844999999999999</v>
      </c>
      <c r="H212">
        <f t="shared" si="8"/>
        <v>16.975000000000001</v>
      </c>
    </row>
    <row r="213" spans="1:8">
      <c r="A213" s="1">
        <v>42712</v>
      </c>
      <c r="B213">
        <v>8152.1</v>
      </c>
      <c r="C213">
        <v>8246.85</v>
      </c>
      <c r="D213">
        <f t="shared" si="7"/>
        <v>8199.4750000000004</v>
      </c>
      <c r="F213">
        <v>16.844999999999999</v>
      </c>
      <c r="G213">
        <v>15.525</v>
      </c>
      <c r="H213">
        <f t="shared" si="8"/>
        <v>16.184999999999999</v>
      </c>
    </row>
    <row r="214" spans="1:8">
      <c r="A214" s="1">
        <v>42713</v>
      </c>
      <c r="B214">
        <v>8271.7000000000007</v>
      </c>
      <c r="C214">
        <v>8261.75</v>
      </c>
      <c r="D214">
        <f t="shared" si="7"/>
        <v>8266.7250000000004</v>
      </c>
      <c r="F214">
        <v>15.525</v>
      </c>
      <c r="G214">
        <v>15.067500000000001</v>
      </c>
      <c r="H214">
        <f t="shared" si="8"/>
        <v>15.296250000000001</v>
      </c>
    </row>
    <row r="215" spans="1:8">
      <c r="A215" s="1">
        <v>42716</v>
      </c>
      <c r="B215">
        <v>8230.65</v>
      </c>
      <c r="C215">
        <v>8170.8</v>
      </c>
      <c r="D215">
        <f t="shared" si="7"/>
        <v>8200.7250000000004</v>
      </c>
      <c r="F215">
        <v>15.067500000000001</v>
      </c>
      <c r="G215">
        <v>16.192499999999999</v>
      </c>
      <c r="H215">
        <f t="shared" si="8"/>
        <v>15.629999999999999</v>
      </c>
    </row>
    <row r="216" spans="1:8">
      <c r="A216" s="1">
        <v>42717</v>
      </c>
      <c r="B216">
        <v>8196.15</v>
      </c>
      <c r="C216">
        <v>8221.7999999999993</v>
      </c>
      <c r="D216">
        <f t="shared" si="7"/>
        <v>8208.9749999999985</v>
      </c>
      <c r="F216">
        <v>16.192499999999999</v>
      </c>
      <c r="G216">
        <v>15.922499999999999</v>
      </c>
      <c r="H216">
        <f t="shared" si="8"/>
        <v>16.057499999999997</v>
      </c>
    </row>
    <row r="217" spans="1:8">
      <c r="A217" s="1">
        <v>42718</v>
      </c>
      <c r="B217">
        <v>8229.35</v>
      </c>
      <c r="C217">
        <v>8182.45</v>
      </c>
      <c r="D217">
        <f t="shared" si="7"/>
        <v>8205.9</v>
      </c>
      <c r="F217">
        <v>15.922499999999999</v>
      </c>
      <c r="G217">
        <v>16.592500000000001</v>
      </c>
      <c r="H217">
        <f t="shared" si="8"/>
        <v>16.2575</v>
      </c>
    </row>
    <row r="218" spans="1:8">
      <c r="A218" s="1">
        <v>42719</v>
      </c>
      <c r="B218">
        <v>8128.4</v>
      </c>
      <c r="C218">
        <v>8153.6</v>
      </c>
      <c r="D218">
        <f t="shared" si="7"/>
        <v>8141</v>
      </c>
      <c r="F218">
        <v>16.592500000000001</v>
      </c>
      <c r="G218">
        <v>15.654999999999999</v>
      </c>
      <c r="H218">
        <f t="shared" si="8"/>
        <v>16.123750000000001</v>
      </c>
    </row>
    <row r="219" spans="1:8">
      <c r="A219" s="1">
        <v>42720</v>
      </c>
      <c r="B219">
        <v>8178.2</v>
      </c>
      <c r="C219">
        <v>8139.45</v>
      </c>
      <c r="D219">
        <f t="shared" si="7"/>
        <v>8158.8249999999998</v>
      </c>
      <c r="F219">
        <v>15.654999999999999</v>
      </c>
      <c r="G219">
        <v>15.2525</v>
      </c>
      <c r="H219">
        <f t="shared" si="8"/>
        <v>15.453749999999999</v>
      </c>
    </row>
    <row r="220" spans="1:8">
      <c r="A220" s="1">
        <v>42723</v>
      </c>
      <c r="B220">
        <v>8126</v>
      </c>
      <c r="C220">
        <v>8104.35</v>
      </c>
      <c r="D220">
        <f t="shared" si="7"/>
        <v>8115.1750000000002</v>
      </c>
      <c r="F220">
        <v>15.2525</v>
      </c>
      <c r="G220">
        <v>14.8375</v>
      </c>
      <c r="H220">
        <f t="shared" si="8"/>
        <v>15.045</v>
      </c>
    </row>
    <row r="221" spans="1:8">
      <c r="A221" s="1">
        <v>42724</v>
      </c>
      <c r="B221">
        <v>8110.6</v>
      </c>
      <c r="C221">
        <v>8082.4</v>
      </c>
      <c r="D221">
        <f t="shared" si="7"/>
        <v>8096.5</v>
      </c>
      <c r="F221">
        <v>14.8375</v>
      </c>
      <c r="G221">
        <v>14.5375</v>
      </c>
      <c r="H221">
        <f t="shared" si="8"/>
        <v>14.6875</v>
      </c>
    </row>
    <row r="222" spans="1:8">
      <c r="A222" s="1">
        <v>42725</v>
      </c>
      <c r="B222">
        <v>8105.85</v>
      </c>
      <c r="C222">
        <v>8061.3</v>
      </c>
      <c r="D222">
        <f t="shared" si="7"/>
        <v>8083.5750000000007</v>
      </c>
      <c r="F222">
        <v>14.5375</v>
      </c>
      <c r="G222">
        <v>14.705</v>
      </c>
      <c r="H222">
        <f t="shared" si="8"/>
        <v>14.62125</v>
      </c>
    </row>
    <row r="223" spans="1:8">
      <c r="A223" s="1">
        <v>42726</v>
      </c>
      <c r="B223">
        <v>8043.85</v>
      </c>
      <c r="C223">
        <v>7979.1</v>
      </c>
      <c r="D223">
        <f t="shared" si="7"/>
        <v>8011.4750000000004</v>
      </c>
      <c r="F223">
        <v>14.705</v>
      </c>
      <c r="G223">
        <v>15.5525</v>
      </c>
      <c r="H223">
        <f t="shared" si="8"/>
        <v>15.12875</v>
      </c>
    </row>
    <row r="224" spans="1:8">
      <c r="A224" s="1">
        <v>42727</v>
      </c>
      <c r="B224">
        <v>7972.5</v>
      </c>
      <c r="C224">
        <v>7985.75</v>
      </c>
      <c r="D224">
        <f t="shared" si="7"/>
        <v>7979.125</v>
      </c>
      <c r="F224">
        <v>15.5525</v>
      </c>
      <c r="G224">
        <v>15.1275</v>
      </c>
      <c r="H224">
        <f t="shared" si="8"/>
        <v>15.34</v>
      </c>
    </row>
    <row r="225" spans="1:8">
      <c r="A225" s="1">
        <v>42730</v>
      </c>
      <c r="B225">
        <v>7965.1</v>
      </c>
      <c r="C225">
        <v>7908.25</v>
      </c>
      <c r="D225">
        <f t="shared" si="7"/>
        <v>7936.6750000000002</v>
      </c>
      <c r="F225">
        <v>15.1275</v>
      </c>
      <c r="G225">
        <v>16.602499999999999</v>
      </c>
      <c r="H225">
        <f t="shared" si="8"/>
        <v>15.864999999999998</v>
      </c>
    </row>
    <row r="226" spans="1:8">
      <c r="A226" s="1">
        <v>42731</v>
      </c>
      <c r="B226">
        <v>7915.05</v>
      </c>
      <c r="C226">
        <v>8032.85</v>
      </c>
      <c r="D226">
        <f t="shared" si="7"/>
        <v>7973.9500000000007</v>
      </c>
      <c r="F226">
        <v>16.602499999999999</v>
      </c>
      <c r="G226">
        <v>15.0825</v>
      </c>
      <c r="H226">
        <f t="shared" si="8"/>
        <v>15.842499999999999</v>
      </c>
    </row>
    <row r="227" spans="1:8">
      <c r="A227" s="1">
        <v>42732</v>
      </c>
      <c r="B227">
        <v>8047.55</v>
      </c>
      <c r="C227">
        <v>8034.85</v>
      </c>
      <c r="D227">
        <f t="shared" si="7"/>
        <v>8041.2000000000007</v>
      </c>
      <c r="F227">
        <v>15.0825</v>
      </c>
      <c r="G227">
        <v>15.5425</v>
      </c>
      <c r="H227">
        <f t="shared" si="8"/>
        <v>15.3125</v>
      </c>
    </row>
    <row r="228" spans="1:8">
      <c r="A228" s="1">
        <v>42733</v>
      </c>
      <c r="B228">
        <v>8030.6</v>
      </c>
      <c r="C228">
        <v>8103.6</v>
      </c>
      <c r="D228">
        <f t="shared" si="7"/>
        <v>8067.1</v>
      </c>
      <c r="F228">
        <v>15.5425</v>
      </c>
      <c r="G228">
        <v>15.282500000000001</v>
      </c>
      <c r="H228">
        <f t="shared" si="8"/>
        <v>15.412500000000001</v>
      </c>
    </row>
    <row r="229" spans="1:8">
      <c r="A229" s="1">
        <v>42734</v>
      </c>
      <c r="B229">
        <v>8119.65</v>
      </c>
      <c r="C229">
        <v>8185.8</v>
      </c>
      <c r="D229">
        <f t="shared" si="7"/>
        <v>8152.7250000000004</v>
      </c>
      <c r="F229">
        <v>15.282500000000001</v>
      </c>
      <c r="G229">
        <v>15.465</v>
      </c>
      <c r="H229">
        <f t="shared" si="8"/>
        <v>15.373750000000001</v>
      </c>
    </row>
    <row r="230" spans="1:8">
      <c r="A230" s="1">
        <v>42737</v>
      </c>
      <c r="B230">
        <v>8210.1</v>
      </c>
      <c r="C230">
        <v>8179.5</v>
      </c>
      <c r="D230">
        <f t="shared" si="7"/>
        <v>8194.7999999999993</v>
      </c>
      <c r="F230">
        <v>15.465</v>
      </c>
      <c r="G230">
        <v>15.83</v>
      </c>
      <c r="H230">
        <f t="shared" si="8"/>
        <v>15.647500000000001</v>
      </c>
    </row>
    <row r="231" spans="1:8">
      <c r="A231" s="1">
        <v>42738</v>
      </c>
      <c r="B231">
        <v>8196.0499999999993</v>
      </c>
      <c r="C231">
        <v>8192.25</v>
      </c>
      <c r="D231">
        <f t="shared" si="7"/>
        <v>8194.15</v>
      </c>
      <c r="F231">
        <v>15.83</v>
      </c>
      <c r="G231">
        <v>15.9575</v>
      </c>
      <c r="H231">
        <f t="shared" si="8"/>
        <v>15.893750000000001</v>
      </c>
    </row>
    <row r="232" spans="1:8">
      <c r="A232" s="1">
        <v>42739</v>
      </c>
      <c r="B232">
        <v>8202.65</v>
      </c>
      <c r="C232">
        <v>8190.5</v>
      </c>
      <c r="D232">
        <f t="shared" si="7"/>
        <v>8196.5750000000007</v>
      </c>
      <c r="F232">
        <v>15.9575</v>
      </c>
      <c r="G232">
        <v>15.89</v>
      </c>
      <c r="H232">
        <f t="shared" si="8"/>
        <v>15.92375</v>
      </c>
    </row>
    <row r="233" spans="1:8">
      <c r="A233" s="1">
        <v>42740</v>
      </c>
      <c r="B233">
        <v>8226.65</v>
      </c>
      <c r="C233">
        <v>8273.7999999999993</v>
      </c>
      <c r="D233">
        <f t="shared" si="7"/>
        <v>8250.2249999999985</v>
      </c>
      <c r="F233">
        <v>15.89</v>
      </c>
      <c r="G233">
        <v>15.05</v>
      </c>
      <c r="H233">
        <f t="shared" si="8"/>
        <v>15.47</v>
      </c>
    </row>
    <row r="234" spans="1:8">
      <c r="A234" s="1">
        <v>42741</v>
      </c>
      <c r="B234">
        <v>8281.85</v>
      </c>
      <c r="C234">
        <v>8243.7999999999993</v>
      </c>
      <c r="D234">
        <f t="shared" si="7"/>
        <v>8262.8250000000007</v>
      </c>
      <c r="F234">
        <v>15.05</v>
      </c>
      <c r="G234">
        <v>14.9125</v>
      </c>
      <c r="H234">
        <f t="shared" si="8"/>
        <v>14.981249999999999</v>
      </c>
    </row>
    <row r="235" spans="1:8">
      <c r="A235" s="1">
        <v>42744</v>
      </c>
      <c r="B235">
        <v>8259.35</v>
      </c>
      <c r="C235">
        <v>8236.0499999999993</v>
      </c>
      <c r="D235">
        <f t="shared" si="7"/>
        <v>8247.7000000000007</v>
      </c>
      <c r="F235">
        <v>14.9125</v>
      </c>
      <c r="G235">
        <v>15.48</v>
      </c>
      <c r="H235">
        <f t="shared" si="8"/>
        <v>15.196249999999999</v>
      </c>
    </row>
    <row r="236" spans="1:8">
      <c r="A236" s="1">
        <v>42745</v>
      </c>
      <c r="B236">
        <v>8262.7000000000007</v>
      </c>
      <c r="C236">
        <v>8288.6</v>
      </c>
      <c r="D236">
        <f t="shared" si="7"/>
        <v>8275.6500000000015</v>
      </c>
      <c r="F236">
        <v>15.48</v>
      </c>
      <c r="G236">
        <v>15.195</v>
      </c>
      <c r="H236">
        <f t="shared" si="8"/>
        <v>15.3375</v>
      </c>
    </row>
    <row r="237" spans="1:8">
      <c r="A237" s="1">
        <v>42746</v>
      </c>
      <c r="B237">
        <v>8327.7999999999993</v>
      </c>
      <c r="C237">
        <v>8380.65</v>
      </c>
      <c r="D237">
        <f t="shared" si="7"/>
        <v>8354.2249999999985</v>
      </c>
      <c r="F237">
        <v>15.195</v>
      </c>
      <c r="G237">
        <v>14.807499999999999</v>
      </c>
      <c r="H237">
        <f t="shared" si="8"/>
        <v>15.001249999999999</v>
      </c>
    </row>
    <row r="238" spans="1:8">
      <c r="A238" s="1">
        <v>42747</v>
      </c>
      <c r="B238">
        <v>8391.0499999999993</v>
      </c>
      <c r="C238">
        <v>8407.2000000000007</v>
      </c>
      <c r="D238">
        <f t="shared" si="7"/>
        <v>8399.125</v>
      </c>
      <c r="F238">
        <v>14.807499999999999</v>
      </c>
      <c r="G238">
        <v>14.612500000000001</v>
      </c>
      <c r="H238">
        <f t="shared" si="8"/>
        <v>14.71</v>
      </c>
    </row>
    <row r="239" spans="1:8">
      <c r="A239" s="1">
        <v>42748</v>
      </c>
      <c r="B239">
        <v>8457.65</v>
      </c>
      <c r="C239">
        <v>8400.35</v>
      </c>
      <c r="D239">
        <f t="shared" si="7"/>
        <v>8429</v>
      </c>
      <c r="F239">
        <v>14.612500000000001</v>
      </c>
      <c r="G239">
        <v>14.3825</v>
      </c>
      <c r="H239">
        <f t="shared" si="8"/>
        <v>14.4975</v>
      </c>
    </row>
    <row r="240" spans="1:8">
      <c r="A240" s="1">
        <v>42751</v>
      </c>
      <c r="B240">
        <v>8390.9500000000007</v>
      </c>
      <c r="C240">
        <v>8412.7999999999993</v>
      </c>
      <c r="D240">
        <f t="shared" si="7"/>
        <v>8401.875</v>
      </c>
      <c r="F240">
        <v>14.3825</v>
      </c>
      <c r="G240">
        <v>15.065</v>
      </c>
      <c r="H240">
        <f t="shared" si="8"/>
        <v>14.723749999999999</v>
      </c>
    </row>
    <row r="241" spans="1:16">
      <c r="A241" s="1">
        <v>42752</v>
      </c>
      <c r="B241">
        <v>8415.0499999999993</v>
      </c>
      <c r="C241">
        <v>8398</v>
      </c>
      <c r="D241">
        <f t="shared" si="7"/>
        <v>8406.5249999999996</v>
      </c>
      <c r="F241">
        <v>15.065</v>
      </c>
      <c r="G241">
        <v>15.3925</v>
      </c>
      <c r="H241">
        <f t="shared" si="8"/>
        <v>15.22875</v>
      </c>
    </row>
    <row r="242" spans="1:16">
      <c r="A242" s="1">
        <v>42753</v>
      </c>
      <c r="B242">
        <v>8403.85</v>
      </c>
      <c r="C242">
        <v>8417</v>
      </c>
      <c r="D242">
        <f t="shared" si="7"/>
        <v>8410.4249999999993</v>
      </c>
      <c r="F242">
        <v>15.3925</v>
      </c>
      <c r="G242">
        <v>15.182499999999999</v>
      </c>
      <c r="H242">
        <f t="shared" si="8"/>
        <v>15.2875</v>
      </c>
    </row>
    <row r="243" spans="1:16">
      <c r="A243" s="1">
        <v>42754</v>
      </c>
      <c r="B243">
        <v>8418.4</v>
      </c>
      <c r="C243">
        <v>8435.1</v>
      </c>
      <c r="D243">
        <f t="shared" si="7"/>
        <v>8426.75</v>
      </c>
      <c r="F243">
        <v>15.182499999999999</v>
      </c>
      <c r="G243">
        <v>15.02</v>
      </c>
      <c r="H243">
        <f t="shared" si="8"/>
        <v>15.10125</v>
      </c>
    </row>
    <row r="244" spans="1:16">
      <c r="A244" s="1">
        <v>42755</v>
      </c>
      <c r="B244">
        <v>8404.35</v>
      </c>
      <c r="C244">
        <v>8349.35</v>
      </c>
      <c r="D244">
        <f t="shared" si="7"/>
        <v>8376.85</v>
      </c>
      <c r="F244">
        <v>15.02</v>
      </c>
      <c r="G244">
        <v>15.79</v>
      </c>
      <c r="H244">
        <f t="shared" si="8"/>
        <v>15.404999999999999</v>
      </c>
    </row>
    <row r="245" spans="1:16">
      <c r="A245" s="1">
        <v>42758</v>
      </c>
      <c r="B245">
        <v>8329.6</v>
      </c>
      <c r="C245">
        <v>8391.5</v>
      </c>
      <c r="D245">
        <f t="shared" si="7"/>
        <v>8360.5499999999993</v>
      </c>
      <c r="F245">
        <v>15.79</v>
      </c>
      <c r="G245">
        <v>15.904999999999999</v>
      </c>
      <c r="H245">
        <f t="shared" si="8"/>
        <v>15.8475</v>
      </c>
    </row>
    <row r="246" spans="1:16">
      <c r="A246" s="1">
        <v>42759</v>
      </c>
      <c r="B246">
        <v>8407.0499999999993</v>
      </c>
      <c r="C246">
        <v>8475.7999999999993</v>
      </c>
      <c r="D246">
        <f t="shared" si="7"/>
        <v>8441.4249999999993</v>
      </c>
      <c r="F246">
        <v>15.904999999999999</v>
      </c>
      <c r="G246">
        <v>15.285</v>
      </c>
      <c r="H246">
        <f t="shared" si="8"/>
        <v>15.594999999999999</v>
      </c>
    </row>
    <row r="247" spans="1:16">
      <c r="A247" s="1">
        <v>42760</v>
      </c>
      <c r="B247">
        <v>8499.4500000000007</v>
      </c>
      <c r="C247">
        <v>8602.75</v>
      </c>
      <c r="D247">
        <f t="shared" si="7"/>
        <v>8551.1</v>
      </c>
      <c r="F247">
        <v>15.285</v>
      </c>
      <c r="G247">
        <v>15.17</v>
      </c>
      <c r="H247">
        <f t="shared" si="8"/>
        <v>15.227499999999999</v>
      </c>
    </row>
    <row r="248" spans="1:16">
      <c r="A248" s="1">
        <v>42762</v>
      </c>
      <c r="B248">
        <v>8610.5</v>
      </c>
      <c r="C248">
        <v>8641.25</v>
      </c>
      <c r="D248">
        <f t="shared" si="7"/>
        <v>8625.875</v>
      </c>
      <c r="F248">
        <v>15.17</v>
      </c>
      <c r="G248">
        <v>16.004999999999999</v>
      </c>
      <c r="H248">
        <f t="shared" si="8"/>
        <v>15.587499999999999</v>
      </c>
    </row>
    <row r="249" spans="1:16">
      <c r="A249" s="1">
        <v>42765</v>
      </c>
      <c r="B249">
        <v>8635.5499999999993</v>
      </c>
      <c r="C249">
        <v>8632.75</v>
      </c>
      <c r="D249">
        <f t="shared" si="7"/>
        <v>8634.15</v>
      </c>
      <c r="F249">
        <v>16.004999999999999</v>
      </c>
      <c r="G249">
        <v>16.670000000000002</v>
      </c>
      <c r="H249">
        <f t="shared" si="8"/>
        <v>16.337499999999999</v>
      </c>
    </row>
    <row r="250" spans="1:16">
      <c r="A250" s="1">
        <v>42766</v>
      </c>
      <c r="B250">
        <v>8629.4500000000007</v>
      </c>
      <c r="C250">
        <v>8561.2999999999993</v>
      </c>
      <c r="D250">
        <f t="shared" si="7"/>
        <v>8595.375</v>
      </c>
      <c r="F250">
        <v>16.670000000000002</v>
      </c>
      <c r="G250">
        <v>16.824999999999999</v>
      </c>
      <c r="H250">
        <f t="shared" si="8"/>
        <v>16.747500000000002</v>
      </c>
    </row>
    <row r="251" spans="1:16">
      <c r="A251" s="1">
        <v>42767</v>
      </c>
      <c r="B251">
        <v>8570.35</v>
      </c>
      <c r="C251">
        <v>8716.4</v>
      </c>
      <c r="D251">
        <f t="shared" si="7"/>
        <v>8643.375</v>
      </c>
      <c r="F251">
        <v>16.824999999999999</v>
      </c>
      <c r="G251">
        <v>13.97</v>
      </c>
      <c r="H251">
        <f t="shared" si="8"/>
        <v>15.397500000000001</v>
      </c>
    </row>
    <row r="252" spans="1:16">
      <c r="A252" s="1">
        <v>42768</v>
      </c>
      <c r="B252">
        <v>8724.75</v>
      </c>
      <c r="C252">
        <v>8734.25</v>
      </c>
      <c r="D252">
        <f t="shared" si="7"/>
        <v>8729.5</v>
      </c>
      <c r="F252">
        <v>13.97</v>
      </c>
      <c r="G252">
        <v>13.52</v>
      </c>
      <c r="H252">
        <f t="shared" si="8"/>
        <v>13.745000000000001</v>
      </c>
    </row>
    <row r="253" spans="1:16">
      <c r="C253" s="2" t="s">
        <v>32</v>
      </c>
      <c r="D253">
        <f>AVERAGE(D7:D252)</f>
        <v>8179.8590447154484</v>
      </c>
      <c r="G253" s="2" t="s">
        <v>32</v>
      </c>
      <c r="H253">
        <f>AVERAGE(H7:H252)</f>
        <v>16.322393292682928</v>
      </c>
    </row>
    <row r="254" spans="1:16">
      <c r="C254" s="2" t="s">
        <v>33</v>
      </c>
      <c r="D254">
        <f>_xlfn.STDEV.P(D7:D252)</f>
        <v>472.12008696006654</v>
      </c>
      <c r="G254" s="2" t="s">
        <v>33</v>
      </c>
      <c r="H254">
        <f>_xlfn.STDEV.P(H7:H252)</f>
        <v>2.0862548304380688</v>
      </c>
      <c r="J254" s="2" t="s">
        <v>34</v>
      </c>
      <c r="K254" s="2"/>
      <c r="L254" s="2"/>
      <c r="M254" s="2"/>
      <c r="N254" s="2"/>
      <c r="O254" s="2"/>
    </row>
    <row r="255" spans="1:16">
      <c r="C255" s="2" t="s">
        <v>35</v>
      </c>
      <c r="D255">
        <f>D254/D253*100</f>
        <v>5.7717386617447524</v>
      </c>
      <c r="G255" s="2" t="s">
        <v>35</v>
      </c>
      <c r="H255">
        <f>H254/H253*100</f>
        <v>12.781549819494325</v>
      </c>
      <c r="J255" s="26" t="s">
        <v>36</v>
      </c>
      <c r="K255" s="26"/>
      <c r="L255" s="26"/>
      <c r="M255" s="26"/>
      <c r="N255" s="26"/>
      <c r="O255" s="26"/>
      <c r="P255" s="26"/>
    </row>
    <row r="256" spans="1:16" ht="15.6" customHeight="1">
      <c r="C256" s="2" t="s">
        <v>37</v>
      </c>
      <c r="D256">
        <f>_xlfn.VAR.P(D7:D252)</f>
        <v>222897.3765111808</v>
      </c>
      <c r="G256" s="2" t="s">
        <v>37</v>
      </c>
      <c r="H256">
        <f>_xlfn.VAR.P(H7:H252)</f>
        <v>4.3524592175261754</v>
      </c>
      <c r="I256" s="13"/>
      <c r="J256" s="26" t="s">
        <v>38</v>
      </c>
      <c r="K256" s="26"/>
      <c r="L256" s="26"/>
      <c r="M256" s="26"/>
      <c r="N256" s="26"/>
      <c r="O256" s="26"/>
      <c r="P256" s="26"/>
    </row>
    <row r="257" spans="1:13" ht="21">
      <c r="C257" s="9"/>
      <c r="D257" s="10" t="s">
        <v>39</v>
      </c>
      <c r="E257" s="10"/>
      <c r="F257" s="10"/>
      <c r="G257" s="10"/>
      <c r="H257" s="10"/>
      <c r="I257" s="10"/>
      <c r="J257" s="10"/>
      <c r="L257" s="7"/>
      <c r="M257" s="7"/>
    </row>
    <row r="258" spans="1:13">
      <c r="A258" s="17" t="s">
        <v>40</v>
      </c>
      <c r="B258" s="17"/>
      <c r="C258" s="17"/>
      <c r="D258" s="17"/>
      <c r="E258" s="17"/>
      <c r="F258" s="17"/>
      <c r="G258" s="18"/>
      <c r="H258" s="16" t="s">
        <v>41</v>
      </c>
      <c r="I258" s="16"/>
      <c r="J258" s="16"/>
      <c r="K258" s="16"/>
      <c r="L258" s="16"/>
      <c r="M258" s="16"/>
    </row>
    <row r="259" spans="1:13">
      <c r="C259" t="s">
        <v>42</v>
      </c>
      <c r="F259" t="s">
        <v>43</v>
      </c>
      <c r="H259" s="7"/>
      <c r="I259" s="6" t="s">
        <v>44</v>
      </c>
      <c r="J259" s="6"/>
      <c r="K259" s="6"/>
      <c r="L259" s="7"/>
      <c r="M259" s="7"/>
    </row>
    <row r="260" spans="1:13">
      <c r="C260" t="s">
        <v>45</v>
      </c>
      <c r="F260" t="s">
        <v>46</v>
      </c>
      <c r="H260" s="7"/>
      <c r="I260" s="6" t="s">
        <v>47</v>
      </c>
      <c r="J260" s="6"/>
      <c r="K260" s="7"/>
      <c r="L260" s="7"/>
      <c r="M260" s="7"/>
    </row>
    <row r="261" spans="1:13">
      <c r="B261" s="2" t="s">
        <v>48</v>
      </c>
      <c r="H261" s="7"/>
      <c r="I261" s="6" t="s">
        <v>49</v>
      </c>
      <c r="J261" s="6"/>
      <c r="K261" s="7"/>
    </row>
    <row r="262" spans="1:13">
      <c r="B262">
        <f>(K9-D253)/D254</f>
        <v>1.6171011917760847</v>
      </c>
      <c r="D262" s="2" t="s">
        <v>50</v>
      </c>
      <c r="E262" s="2"/>
      <c r="F262" s="2"/>
      <c r="G262" s="2"/>
    </row>
    <row r="263" spans="1:13">
      <c r="B263" t="s">
        <v>51</v>
      </c>
    </row>
    <row r="265" spans="1:13">
      <c r="B265" s="28" t="s">
        <v>52</v>
      </c>
      <c r="C265" s="28"/>
      <c r="D265" s="28"/>
      <c r="E265" s="28"/>
      <c r="F265" s="26" t="s">
        <v>53</v>
      </c>
      <c r="G265" s="26"/>
      <c r="H265" s="26"/>
      <c r="I265" s="26"/>
      <c r="J265" s="19"/>
    </row>
    <row r="268" spans="1:13" ht="21">
      <c r="F268" s="8" t="s">
        <v>54</v>
      </c>
      <c r="G268" s="8"/>
      <c r="H268" s="8"/>
    </row>
    <row r="269" spans="1:13">
      <c r="B269" t="s">
        <v>55</v>
      </c>
    </row>
    <row r="270" spans="1:13">
      <c r="B270" t="s">
        <v>56</v>
      </c>
    </row>
    <row r="271" spans="1:13">
      <c r="B271" s="2" t="s">
        <v>57</v>
      </c>
    </row>
    <row r="272" spans="1:13">
      <c r="B272" s="2" t="s">
        <v>58</v>
      </c>
    </row>
    <row r="274" spans="1:12">
      <c r="A274" s="22"/>
      <c r="B274" s="22"/>
      <c r="C274" s="22"/>
      <c r="D274" s="22"/>
      <c r="E274" s="22"/>
      <c r="F274" s="22"/>
      <c r="G274" s="22"/>
      <c r="H274" s="22"/>
      <c r="I274" s="22"/>
      <c r="J274" s="22"/>
      <c r="K274" s="22"/>
      <c r="L274" s="22"/>
    </row>
    <row r="1048576" spans="16365:16376">
      <c r="XEK1048576" s="22" t="s">
        <v>16</v>
      </c>
      <c r="XEL1048576" s="22"/>
      <c r="XEM1048576" s="22"/>
      <c r="XEN1048576" s="22"/>
      <c r="XEO1048576" s="22"/>
      <c r="XEP1048576" s="22"/>
      <c r="XEQ1048576" s="22"/>
      <c r="XER1048576" s="22"/>
      <c r="XES1048576" s="22"/>
      <c r="XET1048576" s="22"/>
      <c r="XEU1048576" s="22"/>
      <c r="XEV1048576" s="22"/>
    </row>
  </sheetData>
  <sheetProtection algorithmName="SHA-512" hashValue="osRxKXT9tVAFdo3STIHqERMHeNumMKcWvnWNvVuYa6pkydcfxQ/bqAezlfX9Axkq9ugpILBQaxe3gdrtLumjJA==" saltValue="jIth7aBIpNnlFJ5fnlE7WA==" spinCount="100000" sheet="1" objects="1" scenarios="1"/>
  <mergeCells count="9">
    <mergeCell ref="A3:L3"/>
    <mergeCell ref="A274:L274"/>
    <mergeCell ref="XEK1048576:XEV1048576"/>
    <mergeCell ref="J255:P255"/>
    <mergeCell ref="J256:P256"/>
    <mergeCell ref="F5:G5"/>
    <mergeCell ref="A4:I4"/>
    <mergeCell ref="F265:I265"/>
    <mergeCell ref="B265:E26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XFC1048576"/>
  <sheetViews>
    <sheetView topLeftCell="A27" workbookViewId="0" xr3:uid="{842E5F09-E766-5B8D-85AF-A39847EA96FD}">
      <selection activeCell="O1" sqref="O1"/>
    </sheetView>
  </sheetViews>
  <sheetFormatPr defaultRowHeight="14.45"/>
  <cols>
    <col min="1" max="1" width="12.85546875" customWidth="1"/>
    <col min="2" max="2" width="16.140625" customWidth="1"/>
    <col min="4" max="4" width="12" bestFit="1" customWidth="1"/>
    <col min="9" max="9" width="11.42578125" customWidth="1"/>
  </cols>
  <sheetData>
    <row r="1" spans="1:12">
      <c r="A1" s="22" t="s">
        <v>0</v>
      </c>
      <c r="B1" s="22"/>
      <c r="C1" s="22"/>
      <c r="D1" s="22"/>
      <c r="E1" s="22"/>
      <c r="F1" s="22"/>
      <c r="G1" s="22"/>
      <c r="H1" s="22"/>
      <c r="I1" s="22"/>
      <c r="J1" s="22"/>
      <c r="K1" s="22"/>
      <c r="L1" s="22"/>
    </row>
    <row r="2" spans="1:12" ht="21">
      <c r="D2" s="29" t="s">
        <v>59</v>
      </c>
      <c r="E2" s="29"/>
      <c r="F2" s="29"/>
      <c r="G2" s="29"/>
    </row>
    <row r="3" spans="1:12">
      <c r="B3" s="2" t="s">
        <v>60</v>
      </c>
      <c r="C3" s="2"/>
      <c r="D3" s="2"/>
      <c r="E3" s="2"/>
      <c r="F3" s="2"/>
      <c r="G3" s="2"/>
    </row>
    <row r="4" spans="1:12">
      <c r="B4" s="2" t="s">
        <v>61</v>
      </c>
      <c r="C4" s="2" t="s">
        <v>62</v>
      </c>
      <c r="D4" s="2" t="s">
        <v>63</v>
      </c>
    </row>
    <row r="5" spans="1:12">
      <c r="B5" s="1">
        <v>42705</v>
      </c>
      <c r="C5">
        <v>8218.4500000000007</v>
      </c>
    </row>
    <row r="6" spans="1:12">
      <c r="B6" s="1">
        <v>42706</v>
      </c>
      <c r="C6">
        <v>8120.1750000000002</v>
      </c>
      <c r="D6">
        <f>((C6/C5)-1)*100</f>
        <v>-1.1957850932961867</v>
      </c>
    </row>
    <row r="7" spans="1:12">
      <c r="B7" s="1">
        <v>42709</v>
      </c>
      <c r="C7">
        <v>8108.75</v>
      </c>
      <c r="D7">
        <f t="shared" ref="D7:D26" si="0">((C7/C6)-1)*100</f>
        <v>-0.14069893813865031</v>
      </c>
    </row>
    <row r="8" spans="1:12">
      <c r="B8" s="1">
        <v>42710</v>
      </c>
      <c r="C8">
        <v>8148.15</v>
      </c>
      <c r="D8">
        <f t="shared" si="0"/>
        <v>0.48589486665637782</v>
      </c>
    </row>
    <row r="9" spans="1:12">
      <c r="B9" s="1">
        <v>42711</v>
      </c>
      <c r="C9">
        <v>8135.2250000000004</v>
      </c>
      <c r="D9">
        <f t="shared" si="0"/>
        <v>-0.15862496394886128</v>
      </c>
    </row>
    <row r="10" spans="1:12">
      <c r="B10" s="1">
        <v>42712</v>
      </c>
      <c r="C10">
        <v>8199.4750000000004</v>
      </c>
      <c r="D10">
        <f t="shared" si="0"/>
        <v>0.78977532889379365</v>
      </c>
    </row>
    <row r="11" spans="1:12">
      <c r="B11" s="1">
        <v>42713</v>
      </c>
      <c r="C11">
        <v>8266.7250000000004</v>
      </c>
      <c r="D11">
        <f t="shared" si="0"/>
        <v>0.82017446238935587</v>
      </c>
    </row>
    <row r="12" spans="1:12">
      <c r="B12" s="1">
        <v>42716</v>
      </c>
      <c r="C12">
        <v>8200.7250000000004</v>
      </c>
      <c r="D12">
        <f t="shared" si="0"/>
        <v>-0.7983814630340258</v>
      </c>
    </row>
    <row r="13" spans="1:12">
      <c r="B13" s="1">
        <v>42717</v>
      </c>
      <c r="C13">
        <v>8208.9749999999985</v>
      </c>
      <c r="D13">
        <f t="shared" si="0"/>
        <v>0.10060086150918135</v>
      </c>
    </row>
    <row r="14" spans="1:12">
      <c r="B14" s="1">
        <v>42718</v>
      </c>
      <c r="C14">
        <v>8205.9</v>
      </c>
      <c r="D14">
        <f t="shared" si="0"/>
        <v>-3.7459000666939524E-2</v>
      </c>
    </row>
    <row r="15" spans="1:12">
      <c r="B15" s="1">
        <v>42719</v>
      </c>
      <c r="C15">
        <v>8141</v>
      </c>
      <c r="D15">
        <f t="shared" si="0"/>
        <v>-0.79089435649958295</v>
      </c>
    </row>
    <row r="16" spans="1:12">
      <c r="B16" s="1">
        <v>42720</v>
      </c>
      <c r="C16">
        <v>8158.8249999999998</v>
      </c>
      <c r="D16">
        <f t="shared" si="0"/>
        <v>0.21895344552265161</v>
      </c>
    </row>
    <row r="17" spans="1:10">
      <c r="B17" s="1">
        <v>42723</v>
      </c>
      <c r="C17">
        <v>8115.1750000000002</v>
      </c>
      <c r="D17">
        <f t="shared" si="0"/>
        <v>-0.53500350847088818</v>
      </c>
    </row>
    <row r="18" spans="1:10">
      <c r="B18" s="1">
        <v>42724</v>
      </c>
      <c r="C18">
        <v>8096.5</v>
      </c>
      <c r="D18">
        <f t="shared" si="0"/>
        <v>-0.23012442738450378</v>
      </c>
    </row>
    <row r="19" spans="1:10">
      <c r="B19" s="1">
        <v>42725</v>
      </c>
      <c r="C19">
        <v>8083.5750000000007</v>
      </c>
      <c r="D19">
        <f t="shared" si="0"/>
        <v>-0.15963688013338473</v>
      </c>
    </row>
    <row r="20" spans="1:10">
      <c r="B20" s="1">
        <v>42726</v>
      </c>
      <c r="C20">
        <v>8011.4750000000004</v>
      </c>
      <c r="D20">
        <f t="shared" si="0"/>
        <v>-0.89193209687545849</v>
      </c>
    </row>
    <row r="21" spans="1:10">
      <c r="B21" s="1">
        <v>42727</v>
      </c>
      <c r="C21">
        <v>7979.125</v>
      </c>
      <c r="D21">
        <f t="shared" si="0"/>
        <v>-0.40379580539164905</v>
      </c>
    </row>
    <row r="22" spans="1:10">
      <c r="B22" s="1">
        <v>42730</v>
      </c>
      <c r="C22">
        <v>7936.6750000000002</v>
      </c>
      <c r="D22">
        <f t="shared" si="0"/>
        <v>-0.53201322200115975</v>
      </c>
    </row>
    <row r="23" spans="1:10">
      <c r="B23" s="1">
        <v>42731</v>
      </c>
      <c r="C23">
        <v>7973.9500000000007</v>
      </c>
      <c r="D23">
        <f t="shared" si="0"/>
        <v>0.46965511375987035</v>
      </c>
    </row>
    <row r="24" spans="1:10">
      <c r="B24" s="1">
        <v>42732</v>
      </c>
      <c r="C24">
        <v>8041.2000000000007</v>
      </c>
      <c r="D24">
        <f t="shared" si="0"/>
        <v>0.84337122755973049</v>
      </c>
    </row>
    <row r="25" spans="1:10">
      <c r="B25" s="1">
        <v>42733</v>
      </c>
      <c r="C25">
        <v>8067.1</v>
      </c>
      <c r="D25">
        <f t="shared" si="0"/>
        <v>0.32209123016464503</v>
      </c>
    </row>
    <row r="26" spans="1:10">
      <c r="B26" s="1">
        <v>42734</v>
      </c>
      <c r="C26">
        <v>8152.7250000000004</v>
      </c>
      <c r="D26">
        <f t="shared" si="0"/>
        <v>1.0614099242602704</v>
      </c>
    </row>
    <row r="27" spans="1:10">
      <c r="A27" s="2" t="s">
        <v>64</v>
      </c>
      <c r="D27">
        <f>_xlfn.VAR.S(D6:D26)</f>
        <v>0.40352912451457079</v>
      </c>
    </row>
    <row r="28" spans="1:10">
      <c r="A28" s="2" t="s">
        <v>65</v>
      </c>
      <c r="D28">
        <f>_xlfn.VAR.P(PORTFOLIO!D7:D250)</f>
        <v>0.62536887894615578</v>
      </c>
    </row>
    <row r="30" spans="1:10">
      <c r="A30" s="2" t="s">
        <v>42</v>
      </c>
      <c r="C30" t="s">
        <v>66</v>
      </c>
      <c r="I30" t="s">
        <v>67</v>
      </c>
    </row>
    <row r="31" spans="1:10">
      <c r="A31" s="2" t="s">
        <v>45</v>
      </c>
      <c r="C31" t="s">
        <v>68</v>
      </c>
      <c r="I31" t="s">
        <v>69</v>
      </c>
    </row>
    <row r="32" spans="1:10">
      <c r="A32" s="28" t="s">
        <v>70</v>
      </c>
      <c r="B32" s="28"/>
      <c r="C32" s="28"/>
      <c r="D32" s="28"/>
      <c r="E32" s="28"/>
      <c r="I32" t="s">
        <v>71</v>
      </c>
      <c r="J32">
        <v>16.928000000000001</v>
      </c>
    </row>
    <row r="33" spans="1:12">
      <c r="B33" t="s">
        <v>72</v>
      </c>
      <c r="C33">
        <f>(28*D27)/D28</f>
        <v>18.067441260345813</v>
      </c>
    </row>
    <row r="34" spans="1:12">
      <c r="C34" t="str">
        <f>"since"&amp;C33&amp;"is more than"&amp;J32</f>
        <v>since18.0674412603458is more than16.928</v>
      </c>
    </row>
    <row r="35" spans="1:12">
      <c r="C35" s="2" t="s">
        <v>73</v>
      </c>
    </row>
    <row r="36" spans="1:12">
      <c r="C36" s="2" t="s">
        <v>74</v>
      </c>
    </row>
    <row r="38" spans="1:12">
      <c r="A38" s="22"/>
      <c r="B38" s="22"/>
      <c r="C38" s="22"/>
      <c r="D38" s="22"/>
      <c r="E38" s="22"/>
      <c r="F38" s="22"/>
      <c r="G38" s="22"/>
      <c r="H38" s="22"/>
      <c r="I38" s="22"/>
      <c r="J38" s="22"/>
      <c r="K38" s="22"/>
      <c r="L38" s="22"/>
    </row>
    <row r="1048576" spans="16372:16383">
      <c r="XER1048576" s="22" t="s">
        <v>16</v>
      </c>
      <c r="XES1048576" s="22"/>
      <c r="XET1048576" s="22"/>
      <c r="XEU1048576" s="22"/>
      <c r="XEV1048576" s="22"/>
      <c r="XEW1048576" s="22"/>
      <c r="XEX1048576" s="22"/>
      <c r="XEY1048576" s="22"/>
      <c r="XEZ1048576" s="22"/>
      <c r="XFA1048576" s="22"/>
      <c r="XFB1048576" s="22"/>
      <c r="XFC1048576" s="22"/>
    </row>
  </sheetData>
  <sheetProtection algorithmName="SHA-512" hashValue="SUPU5x/a7rtlp+ctcyJOEGf2Rpht/Qk45GDyiTt9roHHCmLEuX6hV/GRk4TNwdxhBYkatve82U3OAPgUG5v/7g==" saltValue="DjmrFIqOaJ07ESwa0DfR2g==" spinCount="100000" sheet="1" objects="1" scenarios="1"/>
  <mergeCells count="5">
    <mergeCell ref="A32:E32"/>
    <mergeCell ref="D2:G2"/>
    <mergeCell ref="A38:L38"/>
    <mergeCell ref="A1:L1"/>
    <mergeCell ref="XER1048576:XFC104857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FD1048576"/>
  <sheetViews>
    <sheetView topLeftCell="E155" zoomScaleNormal="100" workbookViewId="0" xr3:uid="{51F8DEE0-4D01-5F28-A812-FC0BD7CAC4A5}">
      <selection activeCell="T84" sqref="T84"/>
    </sheetView>
  </sheetViews>
  <sheetFormatPr defaultRowHeight="14.45"/>
  <cols>
    <col min="5" max="5" width="15.28515625" customWidth="1"/>
    <col min="9" max="9" width="11.28515625" bestFit="1" customWidth="1"/>
    <col min="10" max="10" width="12.7109375" bestFit="1" customWidth="1"/>
    <col min="11" max="11" width="13.140625" bestFit="1" customWidth="1"/>
    <col min="12" max="12" width="12" bestFit="1" customWidth="1"/>
    <col min="13" max="13" width="20.42578125" bestFit="1" customWidth="1"/>
    <col min="14" max="14" width="19.7109375" bestFit="1" customWidth="1"/>
  </cols>
  <sheetData>
    <row r="1" spans="1:22">
      <c r="A1" s="22" t="s">
        <v>0</v>
      </c>
      <c r="B1" s="22"/>
      <c r="C1" s="22"/>
      <c r="D1" s="22"/>
      <c r="E1" s="22"/>
      <c r="F1" s="22"/>
      <c r="G1" s="22"/>
      <c r="H1" s="22"/>
      <c r="I1" s="22"/>
      <c r="J1" s="22"/>
      <c r="K1" s="22"/>
      <c r="L1" s="22"/>
    </row>
    <row r="2" spans="1:22" ht="30" customHeight="1">
      <c r="A2" s="26" t="s">
        <v>75</v>
      </c>
      <c r="B2" s="26"/>
      <c r="C2" s="26"/>
      <c r="D2" s="26"/>
      <c r="E2" s="26"/>
      <c r="F2" s="26"/>
      <c r="G2" s="26"/>
      <c r="H2" s="26"/>
      <c r="I2" s="26"/>
      <c r="J2" s="26"/>
      <c r="K2" s="26"/>
      <c r="L2" s="26"/>
      <c r="M2" s="26"/>
    </row>
    <row r="3" spans="1:22">
      <c r="A3" s="2" t="s">
        <v>76</v>
      </c>
      <c r="B3" s="2"/>
      <c r="C3" s="2"/>
      <c r="D3" s="2"/>
      <c r="E3" s="2"/>
      <c r="F3">
        <f>CORREL($D$7:$D$250,$H$7:$H$250)</f>
        <v>-0.54640617093240529</v>
      </c>
    </row>
    <row r="4" spans="1:22">
      <c r="C4" s="2" t="s">
        <v>77</v>
      </c>
      <c r="G4" s="2" t="s">
        <v>78</v>
      </c>
    </row>
    <row r="5" spans="1:22">
      <c r="C5" t="s">
        <v>79</v>
      </c>
      <c r="D5" t="s">
        <v>80</v>
      </c>
      <c r="G5" t="s">
        <v>79</v>
      </c>
      <c r="H5" t="s">
        <v>80</v>
      </c>
      <c r="M5" s="2" t="s">
        <v>81</v>
      </c>
      <c r="P5" s="26" t="s">
        <v>82</v>
      </c>
      <c r="Q5" s="26"/>
      <c r="R5" s="26"/>
      <c r="S5" s="26"/>
      <c r="T5" s="26"/>
      <c r="U5" s="26"/>
      <c r="V5" s="26"/>
    </row>
    <row r="6" spans="1:22">
      <c r="C6">
        <v>7453.6750000000002</v>
      </c>
      <c r="G6">
        <v>18.161249999999999</v>
      </c>
      <c r="K6" t="s">
        <v>83</v>
      </c>
      <c r="L6" t="s">
        <v>84</v>
      </c>
      <c r="M6" t="s">
        <v>85</v>
      </c>
      <c r="N6" t="s">
        <v>86</v>
      </c>
      <c r="P6" t="s">
        <v>87</v>
      </c>
      <c r="Q6" t="s">
        <v>77</v>
      </c>
      <c r="R6" t="s">
        <v>88</v>
      </c>
      <c r="S6" t="s">
        <v>89</v>
      </c>
    </row>
    <row r="7" spans="1:22">
      <c r="C7">
        <v>7438.4750000000004</v>
      </c>
      <c r="D7">
        <f>((C7/C6)-1)*100</f>
        <v>-0.20392625114457053</v>
      </c>
      <c r="G7">
        <v>19.186250000000001</v>
      </c>
      <c r="H7">
        <f>((G7/G6)-1)*100</f>
        <v>5.6438846445041158</v>
      </c>
      <c r="K7">
        <v>0.5</v>
      </c>
      <c r="L7">
        <f>1-K7</f>
        <v>0.5</v>
      </c>
      <c r="M7">
        <f>D251</f>
        <v>6.3835890533929532E-2</v>
      </c>
      <c r="N7">
        <f>H251</f>
        <v>-1.8464592973596872E-2</v>
      </c>
      <c r="P7" s="2">
        <f t="shared" ref="P7" si="0">1-Q7</f>
        <v>6.0000000000000053E-2</v>
      </c>
      <c r="Q7" s="2">
        <v>0.94</v>
      </c>
      <c r="R7" s="2">
        <v>5.8897861523477937E-2</v>
      </c>
      <c r="S7" s="2">
        <v>0.43440467098603608</v>
      </c>
    </row>
    <row r="8" spans="1:22">
      <c r="C8">
        <v>7301.0749999999998</v>
      </c>
      <c r="D8">
        <f t="shared" ref="D8:D71" si="1">((C8/C7)-1)*100</f>
        <v>-1.8471528102198431</v>
      </c>
      <c r="G8">
        <v>20.9925</v>
      </c>
      <c r="H8">
        <f t="shared" ref="H8:H71" si="2">((G8/G7)-1)*100</f>
        <v>9.4142940908202419</v>
      </c>
    </row>
    <row r="9" spans="1:22">
      <c r="C9">
        <v>7240</v>
      </c>
      <c r="D9">
        <f t="shared" si="1"/>
        <v>-0.83652064935643144</v>
      </c>
      <c r="G9">
        <v>22.096249999999998</v>
      </c>
      <c r="H9">
        <f t="shared" si="2"/>
        <v>5.2578301774443226</v>
      </c>
    </row>
    <row r="10" spans="1:22">
      <c r="C10">
        <v>7089.9750000000004</v>
      </c>
      <c r="D10">
        <f t="shared" si="1"/>
        <v>-2.0721685082872865</v>
      </c>
      <c r="G10">
        <v>24.215</v>
      </c>
      <c r="H10">
        <f t="shared" si="2"/>
        <v>9.5887311195338665</v>
      </c>
      <c r="K10" t="s">
        <v>90</v>
      </c>
      <c r="M10" t="s">
        <v>91</v>
      </c>
    </row>
    <row r="11" spans="1:22">
      <c r="C11">
        <v>7002.2999999999993</v>
      </c>
      <c r="D11">
        <f t="shared" si="1"/>
        <v>-1.2366052066474342</v>
      </c>
      <c r="G11">
        <v>25.318750000000001</v>
      </c>
      <c r="H11">
        <f t="shared" si="2"/>
        <v>4.5581251290522484</v>
      </c>
      <c r="K11">
        <f>(K7*M7)+(L7*N7)</f>
        <v>2.268564878016633E-2</v>
      </c>
      <c r="M11">
        <f>(K7^2)*(D252^2)+(L7^2)*(H252^2)+(2*K7*L7*$F$3*D252*H252)</f>
        <v>1.9751977464177584</v>
      </c>
    </row>
    <row r="12" spans="1:22">
      <c r="C12">
        <v>7110.15</v>
      </c>
      <c r="D12">
        <f t="shared" si="1"/>
        <v>1.540208217300032</v>
      </c>
      <c r="G12">
        <v>23.52375</v>
      </c>
      <c r="H12">
        <f t="shared" si="2"/>
        <v>-7.089607504319928</v>
      </c>
    </row>
    <row r="13" spans="1:22">
      <c r="C13">
        <v>7124.75</v>
      </c>
      <c r="D13">
        <f>((C13/C12)-1)*100</f>
        <v>0.20534025301857106</v>
      </c>
      <c r="G13">
        <v>22.7075</v>
      </c>
      <c r="H13">
        <f>((G13/G12)-1)*100</f>
        <v>-3.4698974440724784</v>
      </c>
    </row>
    <row r="14" spans="1:22">
      <c r="C14">
        <v>7083.65</v>
      </c>
      <c r="D14">
        <f t="shared" si="1"/>
        <v>-0.57686234604723552</v>
      </c>
      <c r="G14">
        <v>22.436250000000001</v>
      </c>
      <c r="H14">
        <f t="shared" si="2"/>
        <v>-1.1945392491467532</v>
      </c>
    </row>
    <row r="15" spans="1:22">
      <c r="C15">
        <v>7184.5749999999998</v>
      </c>
      <c r="D15">
        <f t="shared" si="1"/>
        <v>1.4247598342662426</v>
      </c>
      <c r="G15">
        <v>21.658749999999998</v>
      </c>
      <c r="H15">
        <f t="shared" si="2"/>
        <v>-3.4653741155496243</v>
      </c>
      <c r="K15" s="2" t="s">
        <v>90</v>
      </c>
      <c r="L15" s="2" t="s">
        <v>92</v>
      </c>
    </row>
    <row r="16" spans="1:22">
      <c r="C16">
        <v>7190.65</v>
      </c>
      <c r="D16">
        <f t="shared" si="1"/>
        <v>8.4556149807046843E-2</v>
      </c>
      <c r="G16">
        <v>21.2</v>
      </c>
      <c r="H16">
        <f t="shared" si="2"/>
        <v>-2.1180816067409181</v>
      </c>
      <c r="I16" s="2" t="s">
        <v>93</v>
      </c>
      <c r="J16" s="2" t="s">
        <v>94</v>
      </c>
      <c r="K16" s="4">
        <f>K11</f>
        <v>2.268564878016633E-2</v>
      </c>
      <c r="L16" s="3">
        <f>M11</f>
        <v>1.9751977464177584</v>
      </c>
    </row>
    <row r="17" spans="3:12">
      <c r="C17">
        <v>7221.7000000000007</v>
      </c>
      <c r="D17">
        <f t="shared" si="1"/>
        <v>0.4318107542433669</v>
      </c>
      <c r="G17">
        <v>20.967500000000001</v>
      </c>
      <c r="H17">
        <f t="shared" si="2"/>
        <v>-1.0966981132075393</v>
      </c>
      <c r="I17">
        <f>1-J17</f>
        <v>0.99</v>
      </c>
      <c r="J17">
        <v>0.01</v>
      </c>
      <c r="K17">
        <f t="dataTable" ref="K17:L116" dt2D="0" dtr="0" r1="K7"/>
        <v>-1.7641588138521607E-2</v>
      </c>
      <c r="L17">
        <v>9.7833700105820078</v>
      </c>
    </row>
    <row r="18" spans="3:12">
      <c r="C18">
        <v>7174.9250000000002</v>
      </c>
      <c r="D18">
        <f t="shared" si="1"/>
        <v>-0.64770067989532443</v>
      </c>
      <c r="G18">
        <v>22.428750000000001</v>
      </c>
      <c r="H18">
        <f t="shared" si="2"/>
        <v>6.9691188744485544</v>
      </c>
      <c r="I18">
        <f t="shared" ref="I18:I81" si="3">1-J18</f>
        <v>0.98</v>
      </c>
      <c r="J18">
        <v>0.02</v>
      </c>
      <c r="K18">
        <v>-1.6818583303446343E-2</v>
      </c>
      <c r="L18">
        <v>9.5598479794737266</v>
      </c>
    </row>
    <row r="19" spans="3:12">
      <c r="C19">
        <v>7046.85</v>
      </c>
      <c r="D19">
        <f t="shared" si="1"/>
        <v>-1.7850360805165222</v>
      </c>
      <c r="G19">
        <v>23.396249999999998</v>
      </c>
      <c r="H19">
        <f t="shared" si="2"/>
        <v>4.3136599230897632</v>
      </c>
      <c r="I19">
        <f t="shared" si="3"/>
        <v>0.97</v>
      </c>
      <c r="J19">
        <v>0.03</v>
      </c>
      <c r="K19">
        <v>-1.5995578468371078E-2</v>
      </c>
      <c r="L19">
        <v>9.3389997640628408</v>
      </c>
    </row>
    <row r="20" spans="3:12">
      <c r="C20">
        <v>7000.2250000000004</v>
      </c>
      <c r="D20">
        <f t="shared" si="1"/>
        <v>-0.66164314551891978</v>
      </c>
      <c r="G20">
        <v>22.85</v>
      </c>
      <c r="H20">
        <f t="shared" si="2"/>
        <v>-2.3347758722017331</v>
      </c>
      <c r="I20">
        <f t="shared" si="3"/>
        <v>0.96</v>
      </c>
      <c r="J20">
        <v>0.04</v>
      </c>
      <c r="K20">
        <v>-1.5172573633295817E-2</v>
      </c>
      <c r="L20">
        <v>9.1208253643493578</v>
      </c>
    </row>
    <row r="21" spans="3:12">
      <c r="C21">
        <v>7034.5249999999996</v>
      </c>
      <c r="D21">
        <f t="shared" si="1"/>
        <v>0.48998425050621464</v>
      </c>
      <c r="G21">
        <v>22.305</v>
      </c>
      <c r="H21">
        <f t="shared" si="2"/>
        <v>-2.3851203501094154</v>
      </c>
      <c r="I21">
        <f t="shared" si="3"/>
        <v>0.95</v>
      </c>
      <c r="J21">
        <v>0.05</v>
      </c>
      <c r="K21">
        <v>-1.4349568798220552E-2</v>
      </c>
      <c r="L21">
        <v>8.9053247803332738</v>
      </c>
    </row>
    <row r="22" spans="3:12">
      <c r="C22">
        <v>7018.75</v>
      </c>
      <c r="D22">
        <f t="shared" si="1"/>
        <v>-0.22425110437449547</v>
      </c>
      <c r="G22">
        <v>21.011249999999997</v>
      </c>
      <c r="H22">
        <f t="shared" si="2"/>
        <v>-5.8002689979825277</v>
      </c>
      <c r="I22">
        <f t="shared" si="3"/>
        <v>0.94</v>
      </c>
      <c r="J22">
        <v>0.06</v>
      </c>
      <c r="K22">
        <v>-1.3526563963145288E-2</v>
      </c>
      <c r="L22">
        <v>8.6924980120145872</v>
      </c>
    </row>
    <row r="23" spans="3:12">
      <c r="C23">
        <v>7130.2749999999996</v>
      </c>
      <c r="D23">
        <f t="shared" si="1"/>
        <v>1.5889581478183423</v>
      </c>
      <c r="G23">
        <v>19.414999999999999</v>
      </c>
      <c r="H23">
        <f t="shared" si="2"/>
        <v>-7.5971205901600225</v>
      </c>
      <c r="I23">
        <f t="shared" si="3"/>
        <v>0.92999999999999994</v>
      </c>
      <c r="J23">
        <v>7.0000000000000007E-2</v>
      </c>
      <c r="K23">
        <v>-1.2703559128070021E-2</v>
      </c>
      <c r="L23">
        <v>8.4823450593933014</v>
      </c>
    </row>
    <row r="24" spans="3:12">
      <c r="C24">
        <v>7345.2749999999996</v>
      </c>
      <c r="D24">
        <f t="shared" si="1"/>
        <v>3.0153114711564344</v>
      </c>
      <c r="G24">
        <v>18.831249999999997</v>
      </c>
      <c r="H24">
        <f t="shared" si="2"/>
        <v>-3.0066958537213639</v>
      </c>
      <c r="I24">
        <f t="shared" si="3"/>
        <v>0.92</v>
      </c>
      <c r="J24">
        <v>0.08</v>
      </c>
      <c r="K24">
        <v>-1.1880554292994762E-2</v>
      </c>
      <c r="L24">
        <v>8.2748659224694165</v>
      </c>
    </row>
    <row r="25" spans="3:12">
      <c r="C25">
        <v>7452.5750000000007</v>
      </c>
      <c r="D25">
        <f t="shared" si="1"/>
        <v>1.4608030332424748</v>
      </c>
      <c r="G25">
        <v>18.515000000000001</v>
      </c>
      <c r="H25">
        <f t="shared" si="2"/>
        <v>-1.6793893129770865</v>
      </c>
      <c r="I25">
        <f t="shared" si="3"/>
        <v>0.91</v>
      </c>
      <c r="J25">
        <v>0.09</v>
      </c>
      <c r="K25">
        <v>-1.1057549457919497E-2</v>
      </c>
      <c r="L25">
        <v>8.0700606012429272</v>
      </c>
    </row>
    <row r="26" spans="3:12">
      <c r="C26">
        <v>7495.375</v>
      </c>
      <c r="D26">
        <f t="shared" si="1"/>
        <v>0.57429814527192313</v>
      </c>
      <c r="G26">
        <v>17.96125</v>
      </c>
      <c r="H26">
        <f t="shared" si="2"/>
        <v>-2.9908182554685414</v>
      </c>
      <c r="I26">
        <f t="shared" si="3"/>
        <v>0.9</v>
      </c>
      <c r="J26">
        <v>0.1</v>
      </c>
      <c r="K26">
        <v>-1.0234544622844231E-2</v>
      </c>
      <c r="L26">
        <v>7.8679290957138406</v>
      </c>
    </row>
    <row r="27" spans="3:12">
      <c r="C27">
        <v>7485.85</v>
      </c>
      <c r="D27">
        <f>((C27/C26)-1)*100</f>
        <v>-0.12707836499173952</v>
      </c>
      <c r="G27">
        <v>18.173749999999998</v>
      </c>
      <c r="H27">
        <f>((G27/G26)-1)*100</f>
        <v>1.1831025123529848</v>
      </c>
      <c r="I27">
        <f t="shared" si="3"/>
        <v>0.89</v>
      </c>
      <c r="J27">
        <v>0.11</v>
      </c>
      <c r="K27">
        <v>-9.4115397877689664E-3</v>
      </c>
      <c r="L27">
        <v>7.6684714058821495</v>
      </c>
    </row>
    <row r="28" spans="3:12">
      <c r="C28">
        <v>7483.9500000000007</v>
      </c>
      <c r="D28">
        <f t="shared" si="1"/>
        <v>-2.5381219233611141E-2</v>
      </c>
      <c r="G28">
        <v>17.984999999999999</v>
      </c>
      <c r="H28">
        <f t="shared" si="2"/>
        <v>-1.0385858724809127</v>
      </c>
      <c r="I28">
        <f t="shared" si="3"/>
        <v>0.88</v>
      </c>
      <c r="J28">
        <v>0.12</v>
      </c>
      <c r="K28">
        <v>-8.5885349526937018E-3</v>
      </c>
      <c r="L28">
        <v>7.4716875317478602</v>
      </c>
    </row>
    <row r="29" spans="3:12">
      <c r="C29">
        <v>7515.75</v>
      </c>
      <c r="D29">
        <f t="shared" si="1"/>
        <v>0.42490930591465581</v>
      </c>
      <c r="G29">
        <v>17.7</v>
      </c>
      <c r="H29">
        <f t="shared" si="2"/>
        <v>-1.5846538782318564</v>
      </c>
      <c r="I29">
        <f t="shared" si="3"/>
        <v>0.87</v>
      </c>
      <c r="J29">
        <v>0.13</v>
      </c>
      <c r="K29">
        <v>-7.7655301176184407E-3</v>
      </c>
      <c r="L29">
        <v>7.2775774733109699</v>
      </c>
    </row>
    <row r="30" spans="3:12">
      <c r="C30">
        <v>7497.5249999999996</v>
      </c>
      <c r="D30">
        <f t="shared" si="1"/>
        <v>-0.24249076938429592</v>
      </c>
      <c r="G30">
        <v>17.49625</v>
      </c>
      <c r="H30">
        <f t="shared" si="2"/>
        <v>-1.1511299435028266</v>
      </c>
      <c r="I30">
        <f t="shared" si="3"/>
        <v>0.86</v>
      </c>
      <c r="J30">
        <v>0.14000000000000001</v>
      </c>
      <c r="K30">
        <v>-6.9425252825431744E-3</v>
      </c>
      <c r="L30">
        <v>7.0861412305714779</v>
      </c>
    </row>
    <row r="31" spans="3:12">
      <c r="C31">
        <v>7540.6750000000002</v>
      </c>
      <c r="D31">
        <f t="shared" si="1"/>
        <v>0.57552325600782606</v>
      </c>
      <c r="G31">
        <v>17.100000000000001</v>
      </c>
      <c r="H31">
        <f t="shared" si="2"/>
        <v>-2.2647710223619222</v>
      </c>
      <c r="I31">
        <f t="shared" si="3"/>
        <v>0.85</v>
      </c>
      <c r="J31">
        <v>0.15</v>
      </c>
      <c r="K31">
        <v>-6.1195204474679115E-3</v>
      </c>
      <c r="L31">
        <v>6.8973788035293859</v>
      </c>
    </row>
    <row r="32" spans="3:12">
      <c r="C32">
        <v>7498.2250000000004</v>
      </c>
      <c r="D32">
        <f t="shared" si="1"/>
        <v>-0.56294695103554782</v>
      </c>
      <c r="G32">
        <v>17.350000000000001</v>
      </c>
      <c r="H32">
        <f t="shared" si="2"/>
        <v>1.4619883040935644</v>
      </c>
      <c r="I32">
        <f t="shared" si="3"/>
        <v>0.84</v>
      </c>
      <c r="J32">
        <v>0.16</v>
      </c>
      <c r="K32">
        <v>-5.2965156123926469E-3</v>
      </c>
      <c r="L32">
        <v>6.7112901921846939</v>
      </c>
    </row>
    <row r="33" spans="3:12">
      <c r="C33">
        <v>7477.9</v>
      </c>
      <c r="D33">
        <f t="shared" si="1"/>
        <v>-0.27106415184927624</v>
      </c>
      <c r="G33">
        <v>17.356249999999999</v>
      </c>
      <c r="H33">
        <f t="shared" si="2"/>
        <v>3.6023054755029982E-2</v>
      </c>
      <c r="I33">
        <f t="shared" si="3"/>
        <v>0.83</v>
      </c>
      <c r="J33">
        <v>0.17</v>
      </c>
      <c r="K33">
        <v>-4.4735107773173806E-3</v>
      </c>
      <c r="L33">
        <v>6.527875396537401</v>
      </c>
    </row>
    <row r="34" spans="3:12">
      <c r="C34">
        <v>7534.9750000000004</v>
      </c>
      <c r="D34">
        <f t="shared" si="1"/>
        <v>0.76324904050604214</v>
      </c>
      <c r="G34">
        <v>16.977499999999999</v>
      </c>
      <c r="H34">
        <f t="shared" si="2"/>
        <v>-2.182211019085345</v>
      </c>
      <c r="I34">
        <f t="shared" si="3"/>
        <v>0.82000000000000006</v>
      </c>
      <c r="J34">
        <v>0.18</v>
      </c>
      <c r="K34">
        <v>-3.6505059422421212E-3</v>
      </c>
      <c r="L34">
        <v>6.347134416587509</v>
      </c>
    </row>
    <row r="35" spans="3:12">
      <c r="C35">
        <v>7569.5</v>
      </c>
      <c r="D35">
        <f t="shared" si="1"/>
        <v>0.45819660980959132</v>
      </c>
      <c r="G35">
        <v>16.611249999999998</v>
      </c>
      <c r="H35">
        <f t="shared" si="2"/>
        <v>-2.157266970991023</v>
      </c>
      <c r="I35">
        <f t="shared" si="3"/>
        <v>0.81</v>
      </c>
      <c r="J35">
        <v>0.19</v>
      </c>
      <c r="K35">
        <v>-2.8275011071668549E-3</v>
      </c>
      <c r="L35">
        <v>6.1690672523350161</v>
      </c>
    </row>
    <row r="36" spans="3:12">
      <c r="C36">
        <v>7661.7250000000004</v>
      </c>
      <c r="D36">
        <f t="shared" si="1"/>
        <v>1.2183763788889745</v>
      </c>
      <c r="G36">
        <v>16.357500000000002</v>
      </c>
      <c r="H36">
        <f t="shared" si="2"/>
        <v>-1.5275792008427769</v>
      </c>
      <c r="I36">
        <f t="shared" si="3"/>
        <v>0.8</v>
      </c>
      <c r="J36">
        <v>0.2</v>
      </c>
      <c r="K36">
        <v>-2.0044962720915903E-3</v>
      </c>
      <c r="L36">
        <v>5.9936739037799196</v>
      </c>
    </row>
    <row r="37" spans="3:12">
      <c r="C37">
        <v>7705.2250000000004</v>
      </c>
      <c r="D37">
        <f t="shared" si="1"/>
        <v>0.56775726093014622</v>
      </c>
      <c r="G37">
        <v>16.381250000000001</v>
      </c>
      <c r="H37">
        <f t="shared" si="2"/>
        <v>0.14519333639002596</v>
      </c>
      <c r="I37">
        <f t="shared" si="3"/>
        <v>0.79</v>
      </c>
      <c r="J37">
        <v>0.21</v>
      </c>
      <c r="K37">
        <v>-1.1814914370163292E-3</v>
      </c>
      <c r="L37">
        <v>5.820954370922224</v>
      </c>
    </row>
    <row r="38" spans="3:12">
      <c r="C38">
        <v>7716.9750000000004</v>
      </c>
      <c r="D38">
        <f t="shared" si="1"/>
        <v>0.15249392457714617</v>
      </c>
      <c r="G38">
        <v>16.387499999999999</v>
      </c>
      <c r="H38">
        <f t="shared" si="2"/>
        <v>3.8153376573824005E-2</v>
      </c>
      <c r="I38">
        <f t="shared" si="3"/>
        <v>0.78</v>
      </c>
      <c r="J38">
        <v>0.22</v>
      </c>
      <c r="K38">
        <v>-3.5848660194106284E-4</v>
      </c>
      <c r="L38">
        <v>5.6509086537619266</v>
      </c>
    </row>
    <row r="39" spans="3:12">
      <c r="C39">
        <v>7678.05</v>
      </c>
      <c r="D39">
        <f t="shared" si="1"/>
        <v>-0.50440749127734774</v>
      </c>
      <c r="G39">
        <v>16.914999999999999</v>
      </c>
      <c r="H39">
        <f t="shared" si="2"/>
        <v>3.2189168573607985</v>
      </c>
      <c r="I39">
        <f t="shared" si="3"/>
        <v>0.77</v>
      </c>
      <c r="J39">
        <v>0.23</v>
      </c>
      <c r="K39">
        <v>4.6451823313420175E-4</v>
      </c>
      <c r="L39">
        <v>5.4835367522990293</v>
      </c>
    </row>
    <row r="40" spans="3:12">
      <c r="C40">
        <v>7601.7749999999996</v>
      </c>
      <c r="D40">
        <f t="shared" si="1"/>
        <v>-0.99341629710669732</v>
      </c>
      <c r="G40">
        <v>17.561250000000001</v>
      </c>
      <c r="H40">
        <f t="shared" si="2"/>
        <v>3.8205734555128767</v>
      </c>
      <c r="I40">
        <f t="shared" si="3"/>
        <v>0.76</v>
      </c>
      <c r="J40">
        <v>0.24</v>
      </c>
      <c r="K40">
        <v>1.2875230682094646E-3</v>
      </c>
      <c r="L40">
        <v>5.3188386665335328</v>
      </c>
    </row>
    <row r="41" spans="3:12">
      <c r="C41">
        <v>7693.15</v>
      </c>
      <c r="D41">
        <f t="shared" si="1"/>
        <v>1.2020218962018658</v>
      </c>
      <c r="G41">
        <v>17.2225</v>
      </c>
      <c r="H41">
        <f t="shared" si="2"/>
        <v>-1.9289629155100019</v>
      </c>
      <c r="I41">
        <f t="shared" si="3"/>
        <v>0.75</v>
      </c>
      <c r="J41">
        <v>0.25</v>
      </c>
      <c r="K41">
        <v>2.1105279032847292E-3</v>
      </c>
      <c r="L41">
        <v>5.1568143964654336</v>
      </c>
    </row>
    <row r="42" spans="3:12">
      <c r="C42">
        <v>7733.0249999999996</v>
      </c>
      <c r="D42">
        <f t="shared" si="1"/>
        <v>0.51831824415227157</v>
      </c>
      <c r="G42">
        <v>16.695</v>
      </c>
      <c r="H42">
        <f t="shared" si="2"/>
        <v>-3.0628538249383053</v>
      </c>
      <c r="I42">
        <f t="shared" si="3"/>
        <v>0.74</v>
      </c>
      <c r="J42">
        <v>0.26</v>
      </c>
      <c r="K42">
        <v>2.9335327383599938E-3</v>
      </c>
      <c r="L42">
        <v>4.9974639420947344</v>
      </c>
    </row>
    <row r="43" spans="3:12">
      <c r="C43">
        <v>7715.55</v>
      </c>
      <c r="D43">
        <f t="shared" si="1"/>
        <v>-0.22597883751830361</v>
      </c>
      <c r="G43">
        <v>16.93</v>
      </c>
      <c r="H43">
        <f t="shared" si="2"/>
        <v>1.4076070679844177</v>
      </c>
      <c r="I43">
        <f t="shared" si="3"/>
        <v>0.73</v>
      </c>
      <c r="J43">
        <v>0.27</v>
      </c>
      <c r="K43">
        <v>3.7565375734352566E-3</v>
      </c>
      <c r="L43">
        <v>4.8407873034214344</v>
      </c>
    </row>
    <row r="44" spans="3:12">
      <c r="C44">
        <v>7745.9750000000004</v>
      </c>
      <c r="D44">
        <f t="shared" si="1"/>
        <v>0.3943335212654997</v>
      </c>
      <c r="G44">
        <v>17.36375</v>
      </c>
      <c r="H44">
        <f t="shared" si="2"/>
        <v>2.5620200826934392</v>
      </c>
      <c r="I44">
        <f t="shared" si="3"/>
        <v>0.72</v>
      </c>
      <c r="J44">
        <v>0.28000000000000003</v>
      </c>
      <c r="K44">
        <v>4.5795424085105247E-3</v>
      </c>
      <c r="L44">
        <v>4.6867844804455343</v>
      </c>
    </row>
    <row r="45" spans="3:12">
      <c r="C45">
        <v>7669.75</v>
      </c>
      <c r="D45">
        <f t="shared" si="1"/>
        <v>-0.98405946314054082</v>
      </c>
      <c r="G45">
        <v>17.64</v>
      </c>
      <c r="H45">
        <f t="shared" si="2"/>
        <v>1.5909581743575041</v>
      </c>
      <c r="I45">
        <f t="shared" si="3"/>
        <v>0.71</v>
      </c>
      <c r="J45">
        <v>0.28999999999999998</v>
      </c>
      <c r="K45">
        <v>5.4025472435857858E-3</v>
      </c>
      <c r="L45">
        <v>4.5354554731670333</v>
      </c>
    </row>
    <row r="46" spans="3:12">
      <c r="C46">
        <v>7625.2000000000007</v>
      </c>
      <c r="D46">
        <f t="shared" si="1"/>
        <v>-0.58085335245606773</v>
      </c>
      <c r="G46">
        <v>17.587499999999999</v>
      </c>
      <c r="H46">
        <f t="shared" si="2"/>
        <v>-0.29761904761905766</v>
      </c>
      <c r="I46">
        <f t="shared" si="3"/>
        <v>0.7</v>
      </c>
      <c r="J46">
        <v>0.3</v>
      </c>
      <c r="K46">
        <v>6.2255520786610487E-3</v>
      </c>
      <c r="L46">
        <v>4.3868002815859315</v>
      </c>
    </row>
    <row r="47" spans="3:12">
      <c r="C47">
        <v>7588.4249999999993</v>
      </c>
      <c r="D47">
        <f t="shared" si="1"/>
        <v>-0.48228243193623177</v>
      </c>
      <c r="G47">
        <v>17.14</v>
      </c>
      <c r="H47">
        <f t="shared" si="2"/>
        <v>-2.5444207533759644</v>
      </c>
      <c r="I47">
        <f t="shared" si="3"/>
        <v>0.69</v>
      </c>
      <c r="J47">
        <v>0.31</v>
      </c>
      <c r="K47">
        <v>7.0485569137363133E-3</v>
      </c>
      <c r="L47">
        <v>4.2408189057022287</v>
      </c>
    </row>
    <row r="48" spans="3:12">
      <c r="C48">
        <v>7548.7749999999996</v>
      </c>
      <c r="D48">
        <f t="shared" si="1"/>
        <v>-0.52250631718702145</v>
      </c>
      <c r="G48">
        <v>16.68375</v>
      </c>
      <c r="H48">
        <f t="shared" si="2"/>
        <v>-2.6619019836639501</v>
      </c>
      <c r="I48">
        <f t="shared" si="3"/>
        <v>0.67999999999999994</v>
      </c>
      <c r="J48">
        <v>0.32</v>
      </c>
      <c r="K48">
        <v>7.8715617488115779E-3</v>
      </c>
      <c r="L48">
        <v>4.0975113455159269</v>
      </c>
    </row>
    <row r="49" spans="3:12">
      <c r="C49">
        <v>7624.6</v>
      </c>
      <c r="D49">
        <f t="shared" si="1"/>
        <v>1.0044676122947127</v>
      </c>
      <c r="G49">
        <v>16.2225</v>
      </c>
      <c r="H49">
        <f t="shared" si="2"/>
        <v>-2.7646662171274428</v>
      </c>
      <c r="I49">
        <f t="shared" si="3"/>
        <v>0.66999999999999993</v>
      </c>
      <c r="J49">
        <v>0.33</v>
      </c>
      <c r="K49">
        <v>8.6945665838868459E-3</v>
      </c>
      <c r="L49">
        <v>3.9568776010270224</v>
      </c>
    </row>
    <row r="50" spans="3:12">
      <c r="C50">
        <v>7689.1</v>
      </c>
      <c r="D50">
        <f t="shared" si="1"/>
        <v>0.84594601684022663</v>
      </c>
      <c r="G50">
        <v>16.018749999999997</v>
      </c>
      <c r="H50">
        <f t="shared" si="2"/>
        <v>-1.2559716443211744</v>
      </c>
      <c r="I50">
        <f t="shared" si="3"/>
        <v>0.65999999999999992</v>
      </c>
      <c r="J50">
        <v>0.34</v>
      </c>
      <c r="K50">
        <v>9.5175714189621088E-3</v>
      </c>
      <c r="L50">
        <v>3.8189176722355174</v>
      </c>
    </row>
    <row r="51" spans="3:12">
      <c r="C51">
        <v>7813.7999999999993</v>
      </c>
      <c r="D51">
        <f t="shared" si="1"/>
        <v>1.6217762807090308</v>
      </c>
      <c r="G51">
        <v>16.03</v>
      </c>
      <c r="H51">
        <f t="shared" si="2"/>
        <v>7.0230198985599124E-2</v>
      </c>
      <c r="I51">
        <f t="shared" si="3"/>
        <v>0.65</v>
      </c>
      <c r="J51">
        <v>0.35</v>
      </c>
      <c r="K51">
        <v>1.0340576254037368E-2</v>
      </c>
      <c r="L51">
        <v>3.6836315591414142</v>
      </c>
    </row>
    <row r="52" spans="3:12">
      <c r="C52">
        <v>7911.4249999999993</v>
      </c>
      <c r="D52">
        <f t="shared" si="1"/>
        <v>1.2493921011543785</v>
      </c>
      <c r="G52">
        <v>16.491250000000001</v>
      </c>
      <c r="H52">
        <f t="shared" si="2"/>
        <v>2.8774173424828353</v>
      </c>
      <c r="I52">
        <f t="shared" si="3"/>
        <v>0.64</v>
      </c>
      <c r="J52">
        <v>0.36</v>
      </c>
      <c r="K52">
        <v>1.1163581089112631E-2</v>
      </c>
      <c r="L52">
        <v>3.5510192617447087</v>
      </c>
    </row>
    <row r="53" spans="3:12">
      <c r="C53">
        <v>7932.4</v>
      </c>
      <c r="D53">
        <f t="shared" si="1"/>
        <v>0.26512290769362679</v>
      </c>
      <c r="G53">
        <v>17.01125</v>
      </c>
      <c r="H53">
        <f t="shared" si="2"/>
        <v>3.1531872962934804</v>
      </c>
      <c r="I53">
        <f t="shared" si="3"/>
        <v>0.63</v>
      </c>
      <c r="J53">
        <v>0.37</v>
      </c>
      <c r="K53">
        <v>1.1986585924187896E-2</v>
      </c>
      <c r="L53">
        <v>3.4210807800454024</v>
      </c>
    </row>
    <row r="54" spans="3:12">
      <c r="C54">
        <v>7932.85</v>
      </c>
      <c r="D54">
        <f t="shared" si="1"/>
        <v>5.6729363118401821E-3</v>
      </c>
      <c r="G54">
        <v>16.793749999999999</v>
      </c>
      <c r="H54">
        <f t="shared" si="2"/>
        <v>-1.2785656550811986</v>
      </c>
      <c r="I54">
        <f t="shared" si="3"/>
        <v>0.62</v>
      </c>
      <c r="J54">
        <v>0.38</v>
      </c>
      <c r="K54">
        <v>1.2809590759263164E-2</v>
      </c>
      <c r="L54">
        <v>3.2938161140434952</v>
      </c>
    </row>
    <row r="55" spans="3:12">
      <c r="C55">
        <v>7895.55</v>
      </c>
      <c r="D55">
        <f t="shared" si="1"/>
        <v>-0.47019671366532734</v>
      </c>
      <c r="G55">
        <v>16.446249999999999</v>
      </c>
      <c r="H55">
        <f t="shared" si="2"/>
        <v>-2.0692221808708555</v>
      </c>
      <c r="I55">
        <f t="shared" si="3"/>
        <v>0.61</v>
      </c>
      <c r="J55">
        <v>0.39</v>
      </c>
      <c r="K55">
        <v>1.3632595594338428E-2</v>
      </c>
      <c r="L55">
        <v>3.1692252637389871</v>
      </c>
    </row>
    <row r="56" spans="3:12">
      <c r="C56">
        <v>7874.9250000000002</v>
      </c>
      <c r="D56">
        <f t="shared" si="1"/>
        <v>-0.26122309402131227</v>
      </c>
      <c r="G56">
        <v>16.47625</v>
      </c>
      <c r="H56">
        <f t="shared" si="2"/>
        <v>0.18241240404348602</v>
      </c>
      <c r="I56">
        <f t="shared" si="3"/>
        <v>0.6</v>
      </c>
      <c r="J56">
        <v>0.4</v>
      </c>
      <c r="K56">
        <v>1.4455600429413691E-2</v>
      </c>
      <c r="L56">
        <v>3.0473082291318785</v>
      </c>
    </row>
    <row r="57" spans="3:12">
      <c r="C57">
        <v>7895.4</v>
      </c>
      <c r="D57">
        <f t="shared" si="1"/>
        <v>0.26000247621404959</v>
      </c>
      <c r="G57">
        <v>16.576250000000002</v>
      </c>
      <c r="H57">
        <f t="shared" si="2"/>
        <v>0.60693422350353021</v>
      </c>
      <c r="I57">
        <f t="shared" si="3"/>
        <v>0.59000000000000008</v>
      </c>
      <c r="J57">
        <v>0.41</v>
      </c>
      <c r="K57">
        <v>1.527860526448895E-2</v>
      </c>
      <c r="L57">
        <v>2.9280650102221708</v>
      </c>
    </row>
    <row r="58" spans="3:12">
      <c r="C58">
        <v>7960.95</v>
      </c>
      <c r="D58">
        <f t="shared" si="1"/>
        <v>0.83023026065811578</v>
      </c>
      <c r="G58">
        <v>16.466249999999999</v>
      </c>
      <c r="H58">
        <f t="shared" si="2"/>
        <v>-0.66360003016365798</v>
      </c>
      <c r="I58">
        <f t="shared" si="3"/>
        <v>0.58000000000000007</v>
      </c>
      <c r="J58">
        <v>0.42</v>
      </c>
      <c r="K58">
        <v>1.6101610099564213E-2</v>
      </c>
      <c r="L58">
        <v>2.8114956070098609</v>
      </c>
    </row>
    <row r="59" spans="3:12">
      <c r="C59">
        <v>7907.3249999999998</v>
      </c>
      <c r="D59">
        <f t="shared" si="1"/>
        <v>-0.67360051250164865</v>
      </c>
      <c r="G59">
        <v>16.475000000000001</v>
      </c>
      <c r="H59">
        <f t="shared" si="2"/>
        <v>5.3138996432111618E-2</v>
      </c>
      <c r="I59">
        <f t="shared" si="3"/>
        <v>0.57000000000000006</v>
      </c>
      <c r="J59">
        <v>0.43</v>
      </c>
      <c r="K59">
        <v>1.6924614934639481E-2</v>
      </c>
      <c r="L59">
        <v>2.6976000194949505</v>
      </c>
    </row>
    <row r="60" spans="3:12">
      <c r="C60">
        <v>7847.0249999999996</v>
      </c>
      <c r="D60">
        <f t="shared" si="1"/>
        <v>-0.76258405971678656</v>
      </c>
      <c r="G60">
        <v>16.567500000000003</v>
      </c>
      <c r="H60">
        <f t="shared" si="2"/>
        <v>0.56145675265555361</v>
      </c>
      <c r="I60">
        <f t="shared" si="3"/>
        <v>0.56000000000000005</v>
      </c>
      <c r="J60">
        <v>0.44</v>
      </c>
      <c r="K60">
        <v>1.7747619769714746E-2</v>
      </c>
      <c r="L60">
        <v>2.5863782476774388</v>
      </c>
    </row>
    <row r="61" spans="3:12">
      <c r="C61">
        <v>7814.2999999999993</v>
      </c>
      <c r="D61">
        <f t="shared" si="1"/>
        <v>-0.41703702995721237</v>
      </c>
      <c r="G61">
        <v>16.815000000000001</v>
      </c>
      <c r="H61">
        <f t="shared" si="2"/>
        <v>1.493888637392482</v>
      </c>
      <c r="I61">
        <f t="shared" si="3"/>
        <v>0.55000000000000004</v>
      </c>
      <c r="J61">
        <v>0.45</v>
      </c>
      <c r="K61">
        <v>1.8570624604790011E-2</v>
      </c>
      <c r="L61">
        <v>2.4778302915573276</v>
      </c>
    </row>
    <row r="62" spans="3:12">
      <c r="C62">
        <v>7785.9</v>
      </c>
      <c r="D62">
        <f t="shared" si="1"/>
        <v>-0.36343626428469999</v>
      </c>
      <c r="G62">
        <v>17.2775</v>
      </c>
      <c r="H62">
        <f t="shared" si="2"/>
        <v>2.7505203687183899</v>
      </c>
      <c r="I62">
        <f t="shared" si="3"/>
        <v>0.54</v>
      </c>
      <c r="J62">
        <v>0.46</v>
      </c>
      <c r="K62">
        <v>1.9393629439865272E-2</v>
      </c>
      <c r="L62">
        <v>2.371956151134615</v>
      </c>
    </row>
    <row r="63" spans="3:12">
      <c r="C63">
        <v>7715.35</v>
      </c>
      <c r="D63">
        <f t="shared" si="1"/>
        <v>-0.9061251749958199</v>
      </c>
      <c r="G63">
        <v>17.453749999999999</v>
      </c>
      <c r="H63">
        <f t="shared" si="2"/>
        <v>1.0201128635508594</v>
      </c>
      <c r="I63">
        <f t="shared" si="3"/>
        <v>0.53</v>
      </c>
      <c r="J63">
        <v>0.47</v>
      </c>
      <c r="K63">
        <v>2.0216634274940533E-2</v>
      </c>
      <c r="L63">
        <v>2.268755826409302</v>
      </c>
    </row>
    <row r="64" spans="3:12">
      <c r="C64">
        <v>7733.25</v>
      </c>
      <c r="D64">
        <f t="shared" si="1"/>
        <v>0.2320050289358111</v>
      </c>
      <c r="G64">
        <v>17.307500000000001</v>
      </c>
      <c r="H64">
        <f t="shared" si="2"/>
        <v>-0.83792881185991153</v>
      </c>
      <c r="I64">
        <f t="shared" si="3"/>
        <v>0.52</v>
      </c>
      <c r="J64">
        <v>0.48</v>
      </c>
      <c r="K64">
        <v>2.1039639110015801E-2</v>
      </c>
      <c r="L64">
        <v>2.168229317381388</v>
      </c>
    </row>
    <row r="65" spans="3:12">
      <c r="C65">
        <v>7725.5499999999993</v>
      </c>
      <c r="D65">
        <f t="shared" si="1"/>
        <v>-9.9570038470253586E-2</v>
      </c>
      <c r="G65">
        <v>17.058750000000003</v>
      </c>
      <c r="H65">
        <f t="shared" si="2"/>
        <v>-1.4372381915354504</v>
      </c>
      <c r="I65">
        <f t="shared" si="3"/>
        <v>0.51</v>
      </c>
      <c r="J65">
        <v>0.49</v>
      </c>
      <c r="K65">
        <v>2.1862643945091065E-2</v>
      </c>
      <c r="L65">
        <v>2.0703766240508736</v>
      </c>
    </row>
    <row r="66" spans="3:12">
      <c r="C66">
        <v>7810.65</v>
      </c>
      <c r="D66">
        <f t="shared" si="1"/>
        <v>1.1015396962028579</v>
      </c>
      <c r="G66">
        <v>16.78</v>
      </c>
      <c r="H66">
        <f t="shared" si="2"/>
        <v>-1.634058767494706</v>
      </c>
      <c r="I66">
        <f t="shared" si="3"/>
        <v>0.5</v>
      </c>
      <c r="J66">
        <v>0.5</v>
      </c>
      <c r="K66">
        <v>2.268564878016633E-2</v>
      </c>
      <c r="L66">
        <v>1.9751977464177584</v>
      </c>
    </row>
    <row r="67" spans="3:12">
      <c r="C67">
        <v>7880.6750000000002</v>
      </c>
      <c r="D67">
        <f t="shared" si="1"/>
        <v>0.89653229884838481</v>
      </c>
      <c r="G67">
        <v>16.513750000000002</v>
      </c>
      <c r="H67">
        <f t="shared" si="2"/>
        <v>-1.5867103694874762</v>
      </c>
      <c r="I67">
        <f t="shared" si="3"/>
        <v>0.49</v>
      </c>
      <c r="J67">
        <v>0.51</v>
      </c>
      <c r="K67">
        <v>2.3508653615241595E-2</v>
      </c>
      <c r="L67">
        <v>1.8826926844820426</v>
      </c>
    </row>
    <row r="68" spans="3:12">
      <c r="C68">
        <v>7826.75</v>
      </c>
      <c r="D68">
        <f t="shared" si="1"/>
        <v>-0.68426879677184749</v>
      </c>
      <c r="G68">
        <v>16.688749999999999</v>
      </c>
      <c r="H68">
        <f t="shared" si="2"/>
        <v>1.0597229581409184</v>
      </c>
      <c r="I68">
        <f t="shared" si="3"/>
        <v>0.48</v>
      </c>
      <c r="J68">
        <v>0.52</v>
      </c>
      <c r="K68">
        <v>2.4331658450316859E-2</v>
      </c>
      <c r="L68">
        <v>1.7928614382437267</v>
      </c>
    </row>
    <row r="69" spans="3:12">
      <c r="C69">
        <v>7885.9249999999993</v>
      </c>
      <c r="D69">
        <f t="shared" si="1"/>
        <v>0.75606094483660069</v>
      </c>
      <c r="G69">
        <v>16.645</v>
      </c>
      <c r="H69">
        <f t="shared" si="2"/>
        <v>-0.26215264774174241</v>
      </c>
      <c r="I69">
        <f t="shared" si="3"/>
        <v>0.47</v>
      </c>
      <c r="J69">
        <v>0.53</v>
      </c>
      <c r="K69">
        <v>2.515466328539212E-2</v>
      </c>
      <c r="L69">
        <v>1.7057040077028094</v>
      </c>
    </row>
    <row r="70" spans="3:12">
      <c r="C70">
        <v>7847.95</v>
      </c>
      <c r="D70">
        <f t="shared" si="1"/>
        <v>-0.48155416136977935</v>
      </c>
      <c r="G70">
        <v>16.662500000000001</v>
      </c>
      <c r="H70">
        <f t="shared" si="2"/>
        <v>0.10513667768099477</v>
      </c>
      <c r="I70">
        <f t="shared" si="3"/>
        <v>0.45999999999999996</v>
      </c>
      <c r="J70">
        <v>0.54</v>
      </c>
      <c r="K70">
        <v>2.5977668120467388E-2</v>
      </c>
      <c r="L70">
        <v>1.6212203928592914</v>
      </c>
    </row>
    <row r="71" spans="3:12">
      <c r="C71">
        <v>7845.9750000000004</v>
      </c>
      <c r="D71">
        <f t="shared" si="1"/>
        <v>-2.5165807631288839E-2</v>
      </c>
      <c r="G71">
        <v>17.015000000000001</v>
      </c>
      <c r="H71">
        <f t="shared" si="2"/>
        <v>2.115528882220552</v>
      </c>
      <c r="I71">
        <f t="shared" si="3"/>
        <v>0.44999999999999996</v>
      </c>
      <c r="J71">
        <v>0.55000000000000004</v>
      </c>
      <c r="K71">
        <v>2.6800672955542656E-2</v>
      </c>
      <c r="L71">
        <v>1.539410593713173</v>
      </c>
    </row>
    <row r="72" spans="3:12">
      <c r="C72">
        <v>7893.8</v>
      </c>
      <c r="D72">
        <f t="shared" ref="D72:D135" si="4">((C72/C71)-1)*100</f>
        <v>0.60954820783905017</v>
      </c>
      <c r="G72">
        <v>16.702500000000001</v>
      </c>
      <c r="H72">
        <f t="shared" ref="H72:H135" si="5">((G72/G71)-1)*100</f>
        <v>-1.8366147516896802</v>
      </c>
      <c r="I72">
        <f t="shared" si="3"/>
        <v>0.43999999999999995</v>
      </c>
      <c r="J72">
        <v>0.56000000000000005</v>
      </c>
      <c r="K72">
        <v>2.7623677790617921E-2</v>
      </c>
      <c r="L72">
        <v>1.4602746102644544</v>
      </c>
    </row>
    <row r="73" spans="3:12">
      <c r="C73">
        <v>7858.45</v>
      </c>
      <c r="D73">
        <f t="shared" si="4"/>
        <v>-0.44781980795054466</v>
      </c>
      <c r="G73">
        <v>16.41375</v>
      </c>
      <c r="H73">
        <f t="shared" si="5"/>
        <v>-1.728783116299959</v>
      </c>
      <c r="I73">
        <f t="shared" si="3"/>
        <v>0.43000000000000005</v>
      </c>
      <c r="J73">
        <v>0.56999999999999995</v>
      </c>
      <c r="K73">
        <v>2.8446682625693179E-2</v>
      </c>
      <c r="L73">
        <v>1.3838124425131348</v>
      </c>
    </row>
    <row r="74" spans="3:12">
      <c r="C74">
        <v>7829.45</v>
      </c>
      <c r="D74">
        <f t="shared" si="4"/>
        <v>-0.36902951599869782</v>
      </c>
      <c r="G74">
        <v>16.758749999999999</v>
      </c>
      <c r="H74">
        <f t="shared" si="5"/>
        <v>2.1018962759881132</v>
      </c>
      <c r="I74">
        <f t="shared" si="3"/>
        <v>0.42000000000000004</v>
      </c>
      <c r="J74">
        <v>0.57999999999999996</v>
      </c>
      <c r="K74">
        <v>2.926968746076844E-2</v>
      </c>
      <c r="L74">
        <v>1.3100240904592146</v>
      </c>
    </row>
    <row r="75" spans="3:12">
      <c r="C75">
        <v>7770.95</v>
      </c>
      <c r="D75">
        <f t="shared" si="4"/>
        <v>-0.74717892061383351</v>
      </c>
      <c r="G75">
        <v>16.743749999999999</v>
      </c>
      <c r="H75">
        <f t="shared" si="5"/>
        <v>-8.9505482210794352E-2</v>
      </c>
      <c r="I75">
        <f t="shared" si="3"/>
        <v>0.41000000000000003</v>
      </c>
      <c r="J75">
        <v>0.59</v>
      </c>
      <c r="K75">
        <v>3.0092692295843704E-2</v>
      </c>
      <c r="L75">
        <v>1.2389095541026935</v>
      </c>
    </row>
    <row r="76" spans="3:12">
      <c r="C76">
        <v>7772.5</v>
      </c>
      <c r="D76">
        <f t="shared" si="4"/>
        <v>1.9946081238453317E-2</v>
      </c>
      <c r="G76">
        <v>16.2925</v>
      </c>
      <c r="H76">
        <f t="shared" si="5"/>
        <v>-2.6950354609929006</v>
      </c>
      <c r="I76">
        <f t="shared" si="3"/>
        <v>0.4</v>
      </c>
      <c r="J76">
        <v>0.6</v>
      </c>
      <c r="K76">
        <v>3.0915697130918969E-2</v>
      </c>
      <c r="L76">
        <v>1.170468833443572</v>
      </c>
    </row>
    <row r="77" spans="3:12">
      <c r="C77">
        <v>7743.4500000000007</v>
      </c>
      <c r="D77">
        <f t="shared" si="4"/>
        <v>-0.37375361852685085</v>
      </c>
      <c r="G77">
        <v>16.189999999999998</v>
      </c>
      <c r="H77">
        <f t="shared" si="5"/>
        <v>-0.62912382998313587</v>
      </c>
      <c r="I77">
        <f t="shared" si="3"/>
        <v>0.39</v>
      </c>
      <c r="J77">
        <v>0.61</v>
      </c>
      <c r="K77">
        <v>3.173870196599423E-2</v>
      </c>
      <c r="L77">
        <v>1.1047019284818493</v>
      </c>
    </row>
    <row r="78" spans="3:12">
      <c r="C78">
        <v>7873.35</v>
      </c>
      <c r="D78">
        <f t="shared" si="4"/>
        <v>1.6775468299013996</v>
      </c>
      <c r="G78">
        <v>15.87</v>
      </c>
      <c r="H78">
        <f t="shared" si="5"/>
        <v>-1.9765287214329796</v>
      </c>
      <c r="I78">
        <f t="shared" si="3"/>
        <v>0.38</v>
      </c>
      <c r="J78">
        <v>0.62</v>
      </c>
      <c r="K78">
        <v>3.2561706801069498E-2</v>
      </c>
      <c r="L78">
        <v>1.0416088392175262</v>
      </c>
    </row>
    <row r="79" spans="3:12">
      <c r="C79">
        <v>8022.0499999999993</v>
      </c>
      <c r="D79">
        <f t="shared" si="4"/>
        <v>1.8886496853308898</v>
      </c>
      <c r="G79">
        <v>15.422499999999999</v>
      </c>
      <c r="H79">
        <f t="shared" si="5"/>
        <v>-2.8197857592942688</v>
      </c>
      <c r="I79">
        <f t="shared" si="3"/>
        <v>0.37</v>
      </c>
      <c r="J79">
        <v>0.63</v>
      </c>
      <c r="K79">
        <v>3.3384711636144759E-2</v>
      </c>
      <c r="L79">
        <v>0.98118956565060245</v>
      </c>
    </row>
    <row r="80" spans="3:12">
      <c r="C80">
        <v>8119.2999999999993</v>
      </c>
      <c r="D80">
        <f t="shared" si="4"/>
        <v>1.2122836432084005</v>
      </c>
      <c r="G80">
        <v>15.2925</v>
      </c>
      <c r="H80">
        <f t="shared" si="5"/>
        <v>-0.84292429891391629</v>
      </c>
      <c r="I80">
        <f t="shared" si="3"/>
        <v>0.36</v>
      </c>
      <c r="J80">
        <v>0.64</v>
      </c>
      <c r="K80">
        <v>3.4207716471220027E-2</v>
      </c>
      <c r="L80">
        <v>0.92344410778107799</v>
      </c>
    </row>
    <row r="81" spans="3:12">
      <c r="C81">
        <v>8172.5</v>
      </c>
      <c r="D81">
        <f t="shared" si="4"/>
        <v>0.65522889904303661</v>
      </c>
      <c r="G81">
        <v>15.6175</v>
      </c>
      <c r="H81">
        <f t="shared" si="5"/>
        <v>2.1252247833905447</v>
      </c>
      <c r="I81">
        <f t="shared" si="3"/>
        <v>0.35</v>
      </c>
      <c r="J81">
        <v>0.65</v>
      </c>
      <c r="K81">
        <v>3.5030721306295295E-2</v>
      </c>
      <c r="L81">
        <v>0.86837246560895298</v>
      </c>
    </row>
    <row r="82" spans="3:12">
      <c r="C82">
        <v>8184.9750000000004</v>
      </c>
      <c r="D82">
        <f t="shared" si="4"/>
        <v>0.15264606913429901</v>
      </c>
      <c r="G82">
        <v>16.010000000000002</v>
      </c>
      <c r="H82">
        <f t="shared" si="5"/>
        <v>2.5132063390427506</v>
      </c>
      <c r="I82">
        <f t="shared" ref="I82:I116" si="6">1-J82</f>
        <v>0.33999999999999997</v>
      </c>
      <c r="J82">
        <v>0.66</v>
      </c>
      <c r="K82">
        <v>3.5853726141370557E-2</v>
      </c>
      <c r="L82">
        <v>0.8159746391342273</v>
      </c>
    </row>
    <row r="83" spans="3:12">
      <c r="C83">
        <v>8179.5749999999998</v>
      </c>
      <c r="D83">
        <f t="shared" si="4"/>
        <v>-6.5974544821467695E-2</v>
      </c>
      <c r="G83">
        <v>15.940000000000001</v>
      </c>
      <c r="H83">
        <f t="shared" si="5"/>
        <v>-0.4372267332916957</v>
      </c>
      <c r="I83">
        <f t="shared" si="6"/>
        <v>0.32999999999999996</v>
      </c>
      <c r="J83">
        <v>0.67</v>
      </c>
      <c r="K83">
        <v>3.6676730976445825E-2</v>
      </c>
      <c r="L83">
        <v>0.7662506283569005</v>
      </c>
    </row>
    <row r="84" spans="3:12">
      <c r="C84">
        <v>8187.9250000000002</v>
      </c>
      <c r="D84">
        <f t="shared" si="4"/>
        <v>0.10208354346039616</v>
      </c>
      <c r="G84">
        <v>15.46125</v>
      </c>
      <c r="H84">
        <f t="shared" si="5"/>
        <v>-3.0034504391468153</v>
      </c>
      <c r="I84">
        <f t="shared" si="6"/>
        <v>0.31999999999999995</v>
      </c>
      <c r="J84">
        <v>0.68</v>
      </c>
      <c r="K84">
        <v>3.7499735811521086E-2</v>
      </c>
      <c r="L84">
        <v>0.71920043327697358</v>
      </c>
    </row>
    <row r="85" spans="3:12">
      <c r="C85">
        <v>8233.5</v>
      </c>
      <c r="D85">
        <f t="shared" si="4"/>
        <v>0.55661232852035614</v>
      </c>
      <c r="G85">
        <v>15.04125</v>
      </c>
      <c r="H85">
        <f t="shared" si="5"/>
        <v>-2.7164685908319219</v>
      </c>
      <c r="I85">
        <f t="shared" si="6"/>
        <v>0.31000000000000005</v>
      </c>
      <c r="J85">
        <v>0.69</v>
      </c>
      <c r="K85">
        <v>3.832274064659634E-2</v>
      </c>
      <c r="L85">
        <v>0.67482405389444655</v>
      </c>
    </row>
    <row r="86" spans="3:12">
      <c r="C86">
        <v>8214.9</v>
      </c>
      <c r="D86">
        <f t="shared" si="4"/>
        <v>-0.22590635817089089</v>
      </c>
      <c r="G86">
        <v>15.175000000000001</v>
      </c>
      <c r="H86">
        <f t="shared" si="5"/>
        <v>0.88922130806947663</v>
      </c>
      <c r="I86">
        <f t="shared" si="6"/>
        <v>0.30000000000000004</v>
      </c>
      <c r="J86">
        <v>0.7</v>
      </c>
      <c r="K86">
        <v>3.9145745481671608E-2</v>
      </c>
      <c r="L86">
        <v>0.63312149020931796</v>
      </c>
    </row>
    <row r="87" spans="3:12">
      <c r="C87">
        <v>8251</v>
      </c>
      <c r="D87">
        <f t="shared" si="4"/>
        <v>0.43944539799631865</v>
      </c>
      <c r="G87">
        <v>15.112500000000001</v>
      </c>
      <c r="H87">
        <f t="shared" si="5"/>
        <v>-0.41186161449753289</v>
      </c>
      <c r="I87">
        <f t="shared" si="6"/>
        <v>0.29000000000000004</v>
      </c>
      <c r="J87">
        <v>0.71</v>
      </c>
      <c r="K87">
        <v>3.9968750316746869E-2</v>
      </c>
      <c r="L87">
        <v>0.59409274222158892</v>
      </c>
    </row>
    <row r="88" spans="3:12">
      <c r="C88">
        <v>8279.2749999999996</v>
      </c>
      <c r="D88">
        <f t="shared" si="4"/>
        <v>0.34268573506242017</v>
      </c>
      <c r="G88">
        <v>15.00625</v>
      </c>
      <c r="H88">
        <f t="shared" si="5"/>
        <v>-0.7030603804797475</v>
      </c>
      <c r="I88">
        <f t="shared" si="6"/>
        <v>0.28000000000000003</v>
      </c>
      <c r="J88">
        <v>0.72</v>
      </c>
      <c r="K88">
        <v>4.0791755151822137E-2</v>
      </c>
      <c r="L88">
        <v>0.5577378099312591</v>
      </c>
    </row>
    <row r="89" spans="3:12">
      <c r="C89">
        <v>8238.4750000000004</v>
      </c>
      <c r="D89">
        <f t="shared" si="4"/>
        <v>-0.49279677266426125</v>
      </c>
      <c r="G89">
        <v>15.407499999999999</v>
      </c>
      <c r="H89">
        <f t="shared" si="5"/>
        <v>2.6738858808829535</v>
      </c>
      <c r="I89">
        <f t="shared" si="6"/>
        <v>0.27</v>
      </c>
      <c r="J89">
        <v>0.73</v>
      </c>
      <c r="K89">
        <v>4.1614759986897398E-2</v>
      </c>
      <c r="L89">
        <v>0.52405669333832872</v>
      </c>
    </row>
    <row r="90" spans="3:12">
      <c r="C90">
        <v>8175.15</v>
      </c>
      <c r="D90">
        <f t="shared" si="4"/>
        <v>-0.76864953768750466</v>
      </c>
      <c r="G90">
        <v>15.821249999999999</v>
      </c>
      <c r="H90">
        <f t="shared" si="5"/>
        <v>2.6853804965114358</v>
      </c>
      <c r="I90">
        <f t="shared" si="6"/>
        <v>0.26</v>
      </c>
      <c r="J90">
        <v>0.74</v>
      </c>
      <c r="K90">
        <v>4.2437764821972666E-2</v>
      </c>
      <c r="L90">
        <v>0.49304939244279766</v>
      </c>
    </row>
    <row r="91" spans="3:12">
      <c r="C91">
        <v>8106.4250000000002</v>
      </c>
      <c r="D91">
        <f t="shared" si="4"/>
        <v>-0.84065735796896579</v>
      </c>
      <c r="G91">
        <v>16.276250000000001</v>
      </c>
      <c r="H91">
        <f t="shared" si="5"/>
        <v>2.8758789602591595</v>
      </c>
      <c r="I91">
        <f t="shared" si="6"/>
        <v>0.25</v>
      </c>
      <c r="J91">
        <v>0.75</v>
      </c>
      <c r="K91">
        <v>4.3260769657047934E-2</v>
      </c>
      <c r="L91">
        <v>0.46471590724466583</v>
      </c>
    </row>
    <row r="92" spans="3:12">
      <c r="C92">
        <v>8121.625</v>
      </c>
      <c r="D92">
        <f t="shared" si="4"/>
        <v>0.18750558970199727</v>
      </c>
      <c r="G92">
        <v>16.88625</v>
      </c>
      <c r="H92">
        <f t="shared" si="5"/>
        <v>3.7477920282620314</v>
      </c>
      <c r="I92">
        <f t="shared" si="6"/>
        <v>0.24</v>
      </c>
      <c r="J92">
        <v>0.76</v>
      </c>
      <c r="K92">
        <v>4.4083774492123196E-2</v>
      </c>
      <c r="L92">
        <v>0.43905623774393343</v>
      </c>
    </row>
    <row r="93" spans="3:12">
      <c r="C93">
        <v>8173</v>
      </c>
      <c r="D93">
        <f t="shared" si="4"/>
        <v>0.63257045234175191</v>
      </c>
      <c r="G93">
        <v>17.122500000000002</v>
      </c>
      <c r="H93">
        <f t="shared" si="5"/>
        <v>1.3990672884743649</v>
      </c>
      <c r="I93">
        <f t="shared" si="6"/>
        <v>0.22999999999999998</v>
      </c>
      <c r="J93">
        <v>0.77</v>
      </c>
      <c r="K93">
        <v>4.4906779327198464E-2</v>
      </c>
      <c r="L93">
        <v>0.41607038394060031</v>
      </c>
    </row>
    <row r="94" spans="3:12">
      <c r="C94">
        <v>8160.7</v>
      </c>
      <c r="D94">
        <f t="shared" si="4"/>
        <v>-0.150495534075612</v>
      </c>
      <c r="G94">
        <v>17.376249999999999</v>
      </c>
      <c r="H94">
        <f t="shared" si="5"/>
        <v>1.4819681705358301</v>
      </c>
      <c r="I94">
        <f t="shared" si="6"/>
        <v>0.21999999999999997</v>
      </c>
      <c r="J94">
        <v>0.78</v>
      </c>
      <c r="K94">
        <v>4.5729784162273725E-2</v>
      </c>
      <c r="L94">
        <v>0.39575834583466662</v>
      </c>
    </row>
    <row r="95" spans="3:12">
      <c r="C95">
        <v>8173.4249999999993</v>
      </c>
      <c r="D95">
        <f t="shared" si="4"/>
        <v>0.15593025108140424</v>
      </c>
      <c r="G95">
        <v>17.52375</v>
      </c>
      <c r="H95">
        <f t="shared" si="5"/>
        <v>0.8488597942594156</v>
      </c>
      <c r="I95">
        <f t="shared" si="6"/>
        <v>0.20999999999999996</v>
      </c>
      <c r="J95">
        <v>0.79</v>
      </c>
      <c r="K95">
        <v>4.6552788997348993E-2</v>
      </c>
      <c r="L95">
        <v>0.37812012342613222</v>
      </c>
    </row>
    <row r="96" spans="3:12">
      <c r="C96">
        <v>8177.125</v>
      </c>
      <c r="D96">
        <f t="shared" si="4"/>
        <v>4.5268660322950183E-2</v>
      </c>
      <c r="G96">
        <v>17.43375</v>
      </c>
      <c r="H96">
        <f t="shared" si="5"/>
        <v>-0.5135887010485729</v>
      </c>
      <c r="I96">
        <f t="shared" si="6"/>
        <v>0.19999999999999996</v>
      </c>
      <c r="J96">
        <v>0.8</v>
      </c>
      <c r="K96">
        <v>4.7375793832424254E-2</v>
      </c>
      <c r="L96">
        <v>0.36315571671499719</v>
      </c>
    </row>
    <row r="97" spans="3:16">
      <c r="C97">
        <v>8237.65</v>
      </c>
      <c r="D97">
        <f t="shared" si="4"/>
        <v>0.74017457235886486</v>
      </c>
      <c r="G97">
        <v>17.388750000000002</v>
      </c>
      <c r="H97">
        <f t="shared" si="5"/>
        <v>-0.258120025811992</v>
      </c>
      <c r="I97">
        <f t="shared" si="6"/>
        <v>0.18999999999999995</v>
      </c>
      <c r="J97">
        <v>0.81</v>
      </c>
      <c r="K97">
        <v>4.8198798667499522E-2</v>
      </c>
      <c r="L97">
        <v>0.35086512570126155</v>
      </c>
    </row>
    <row r="98" spans="3:16">
      <c r="C98">
        <v>8208.6749999999993</v>
      </c>
      <c r="D98">
        <f t="shared" si="4"/>
        <v>-0.35173866333239046</v>
      </c>
      <c r="G98">
        <v>17.7225</v>
      </c>
      <c r="H98">
        <f t="shared" si="5"/>
        <v>1.9193444037092888</v>
      </c>
      <c r="I98">
        <f t="shared" si="6"/>
        <v>0.18000000000000005</v>
      </c>
      <c r="J98">
        <v>0.82</v>
      </c>
      <c r="K98">
        <v>4.9021803502574776E-2</v>
      </c>
      <c r="L98">
        <v>0.34124835038492524</v>
      </c>
    </row>
    <row r="99" spans="3:16">
      <c r="C99">
        <v>8235.7999999999993</v>
      </c>
      <c r="D99">
        <f t="shared" si="4"/>
        <v>0.33044309830758678</v>
      </c>
      <c r="G99">
        <v>18.102499999999999</v>
      </c>
      <c r="H99">
        <f t="shared" si="5"/>
        <v>2.1441670193257156</v>
      </c>
      <c r="I99">
        <f t="shared" si="6"/>
        <v>0.17000000000000004</v>
      </c>
      <c r="J99">
        <v>0.83</v>
      </c>
      <c r="K99">
        <v>4.9844808337650037E-2</v>
      </c>
      <c r="L99">
        <v>0.33430539076598798</v>
      </c>
    </row>
    <row r="100" spans="3:16">
      <c r="C100">
        <v>8058.85</v>
      </c>
      <c r="D100">
        <f t="shared" si="4"/>
        <v>-2.1485465892809308</v>
      </c>
      <c r="G100">
        <v>18.32375</v>
      </c>
      <c r="H100">
        <f t="shared" si="5"/>
        <v>1.2222068775031181</v>
      </c>
      <c r="I100">
        <f t="shared" si="6"/>
        <v>0.16000000000000003</v>
      </c>
      <c r="J100">
        <v>0.84</v>
      </c>
      <c r="K100">
        <v>5.0667813172725298E-2</v>
      </c>
      <c r="L100">
        <v>0.33003624684445038</v>
      </c>
    </row>
    <row r="101" spans="3:16">
      <c r="C101">
        <v>8067.0249999999996</v>
      </c>
      <c r="D101">
        <f t="shared" si="4"/>
        <v>0.1014412726381364</v>
      </c>
      <c r="G101">
        <v>18.578749999999999</v>
      </c>
      <c r="H101">
        <f t="shared" si="5"/>
        <v>1.3916365372808492</v>
      </c>
      <c r="I101" s="11">
        <f t="shared" si="6"/>
        <v>0.15000000000000002</v>
      </c>
      <c r="J101" s="11">
        <v>0.85</v>
      </c>
      <c r="K101" s="11">
        <v>5.1490818007800566E-2</v>
      </c>
      <c r="L101" s="11">
        <v>0.32844091862031194</v>
      </c>
      <c r="N101" s="12" t="s">
        <v>95</v>
      </c>
    </row>
    <row r="102" spans="3:16">
      <c r="C102">
        <v>8111.9500000000007</v>
      </c>
      <c r="D102">
        <f t="shared" si="4"/>
        <v>0.5568967494212762</v>
      </c>
      <c r="G102">
        <v>18.127500000000001</v>
      </c>
      <c r="H102">
        <f t="shared" si="5"/>
        <v>-2.4288501648388472</v>
      </c>
      <c r="I102" s="11">
        <f t="shared" si="6"/>
        <v>0.14000000000000001</v>
      </c>
      <c r="J102" s="11">
        <v>0.86</v>
      </c>
      <c r="K102" s="11">
        <v>5.2313822842875835E-2</v>
      </c>
      <c r="L102" s="11">
        <v>0.32951940609357278</v>
      </c>
    </row>
    <row r="103" spans="3:16">
      <c r="C103">
        <v>8188.55</v>
      </c>
      <c r="D103">
        <f t="shared" si="4"/>
        <v>0.94428589919808292</v>
      </c>
      <c r="G103">
        <v>16.940000000000001</v>
      </c>
      <c r="H103">
        <f t="shared" si="5"/>
        <v>-6.5508205764722049</v>
      </c>
      <c r="I103" s="11">
        <f t="shared" si="6"/>
        <v>0.13</v>
      </c>
      <c r="J103" s="11">
        <v>0.87</v>
      </c>
      <c r="K103" s="11">
        <v>5.3136827677951103E-2</v>
      </c>
      <c r="L103" s="11">
        <v>0.33327170926423311</v>
      </c>
    </row>
    <row r="104" spans="3:16">
      <c r="C104">
        <v>8274</v>
      </c>
      <c r="D104">
        <f t="shared" si="4"/>
        <v>1.0435302953514247</v>
      </c>
      <c r="G104">
        <v>16.2225</v>
      </c>
      <c r="H104">
        <f t="shared" si="5"/>
        <v>-4.2355371900826499</v>
      </c>
      <c r="I104" s="11">
        <f t="shared" si="6"/>
        <v>0.12</v>
      </c>
      <c r="J104" s="11">
        <v>0.88</v>
      </c>
      <c r="K104" s="11">
        <v>5.3959832513026364E-2</v>
      </c>
      <c r="L104" s="11">
        <v>0.33969782813229277</v>
      </c>
    </row>
    <row r="105" spans="3:16">
      <c r="C105">
        <v>8320.7000000000007</v>
      </c>
      <c r="D105">
        <f t="shared" si="4"/>
        <v>0.5644186608653623</v>
      </c>
      <c r="G105">
        <v>16.013750000000002</v>
      </c>
      <c r="H105">
        <f t="shared" si="5"/>
        <v>-1.2867930343658407</v>
      </c>
      <c r="I105" s="11">
        <f t="shared" si="6"/>
        <v>0.10999999999999999</v>
      </c>
      <c r="J105" s="11">
        <v>0.89</v>
      </c>
      <c r="K105" s="11">
        <v>5.4782837348101632E-2</v>
      </c>
      <c r="L105" s="11">
        <v>0.3487977626977517</v>
      </c>
    </row>
    <row r="106" spans="3:16">
      <c r="C106">
        <v>8373.7250000000004</v>
      </c>
      <c r="D106">
        <f>((C106/C105)-1)*100</f>
        <v>0.63726609540062373</v>
      </c>
      <c r="G106">
        <v>15.657500000000001</v>
      </c>
      <c r="H106">
        <f>((G106/G105)-1)*100</f>
        <v>-2.2246506908125907</v>
      </c>
      <c r="I106" s="11">
        <f t="shared" si="6"/>
        <v>9.9999999999999978E-2</v>
      </c>
      <c r="J106" s="11">
        <v>0.9</v>
      </c>
      <c r="K106" s="11">
        <v>5.5605842183176893E-2</v>
      </c>
      <c r="L106" s="11">
        <v>0.36057151296060991</v>
      </c>
    </row>
    <row r="107" spans="3:16">
      <c r="C107">
        <v>8357.625</v>
      </c>
      <c r="D107">
        <f t="shared" si="4"/>
        <v>-0.1922680766325624</v>
      </c>
      <c r="G107">
        <v>15.47</v>
      </c>
      <c r="H107">
        <f t="shared" si="5"/>
        <v>-1.1975091809037219</v>
      </c>
      <c r="I107" s="11">
        <f t="shared" si="6"/>
        <v>8.9999999999999969E-2</v>
      </c>
      <c r="J107" s="11">
        <v>0.91</v>
      </c>
      <c r="K107" s="11">
        <v>5.6428847018252154E-2</v>
      </c>
      <c r="L107" s="11">
        <v>0.37501907892086744</v>
      </c>
    </row>
    <row r="108" spans="3:16">
      <c r="C108">
        <v>8339.9500000000007</v>
      </c>
      <c r="D108">
        <f t="shared" si="4"/>
        <v>-0.21148352552309291</v>
      </c>
      <c r="G108">
        <v>15.335000000000001</v>
      </c>
      <c r="H108">
        <f t="shared" si="5"/>
        <v>-0.87265675500969309</v>
      </c>
      <c r="I108" s="11">
        <f t="shared" si="6"/>
        <v>7.999999999999996E-2</v>
      </c>
      <c r="J108" s="11">
        <v>0.92</v>
      </c>
      <c r="K108" s="11">
        <v>5.7251851853327422E-2</v>
      </c>
      <c r="L108" s="11">
        <v>0.39214046057852447</v>
      </c>
    </row>
    <row r="109" spans="3:16">
      <c r="C109">
        <v>8336.6</v>
      </c>
      <c r="D109">
        <f t="shared" si="4"/>
        <v>-4.01681065234194E-2</v>
      </c>
      <c r="G109">
        <v>15.195</v>
      </c>
      <c r="H109">
        <f t="shared" si="5"/>
        <v>-0.9129442451907388</v>
      </c>
      <c r="I109" s="11">
        <f t="shared" si="6"/>
        <v>6.9999999999999951E-2</v>
      </c>
      <c r="J109" s="11">
        <v>0.93</v>
      </c>
      <c r="K109" s="11">
        <v>5.8074856688402683E-2</v>
      </c>
      <c r="L109" s="11">
        <v>0.41193565793358067</v>
      </c>
    </row>
    <row r="110" spans="3:16">
      <c r="C110">
        <v>8440.625</v>
      </c>
      <c r="D110">
        <f t="shared" si="4"/>
        <v>1.2478108581436054</v>
      </c>
      <c r="G110">
        <v>14.965</v>
      </c>
      <c r="H110">
        <f t="shared" si="5"/>
        <v>-1.5136558078315265</v>
      </c>
      <c r="I110" s="11">
        <f t="shared" si="6"/>
        <v>6.0000000000000053E-2</v>
      </c>
      <c r="J110" s="11">
        <v>0.94</v>
      </c>
      <c r="K110" s="11">
        <v>5.8897861523477937E-2</v>
      </c>
      <c r="L110" s="11">
        <v>0.43440467098603608</v>
      </c>
      <c r="M110" s="30" t="s">
        <v>96</v>
      </c>
      <c r="N110" s="30"/>
      <c r="O110" s="30"/>
      <c r="P110" s="30"/>
    </row>
    <row r="111" spans="3:16">
      <c r="C111">
        <v>8511.8250000000007</v>
      </c>
      <c r="D111">
        <f t="shared" si="4"/>
        <v>0.84353942984081165</v>
      </c>
      <c r="G111">
        <v>14.815000000000001</v>
      </c>
      <c r="H111">
        <f t="shared" si="5"/>
        <v>-1.0023387905111814</v>
      </c>
      <c r="I111" s="11">
        <f t="shared" si="6"/>
        <v>5.0000000000000044E-2</v>
      </c>
      <c r="J111" s="11">
        <v>0.95</v>
      </c>
      <c r="K111" s="11">
        <v>5.9720866358553205E-2</v>
      </c>
      <c r="L111" s="11">
        <v>0.4595474997358911</v>
      </c>
    </row>
    <row r="112" spans="3:16">
      <c r="C112">
        <v>8529.9750000000004</v>
      </c>
      <c r="D112">
        <f t="shared" si="4"/>
        <v>0.2132327673560086</v>
      </c>
      <c r="G112">
        <v>15.053750000000001</v>
      </c>
      <c r="H112">
        <f t="shared" si="5"/>
        <v>1.6115423557205411</v>
      </c>
      <c r="I112" s="11">
        <f t="shared" si="6"/>
        <v>4.0000000000000036E-2</v>
      </c>
      <c r="J112" s="11">
        <v>0.96</v>
      </c>
      <c r="K112" s="11">
        <v>6.0543871193628473E-2</v>
      </c>
      <c r="L112" s="11">
        <v>0.48736414418314539</v>
      </c>
    </row>
    <row r="113" spans="3:12">
      <c r="C113">
        <v>8540.375</v>
      </c>
      <c r="D113">
        <f t="shared" si="4"/>
        <v>0.12192298336162199</v>
      </c>
      <c r="G113">
        <v>15.467499999999999</v>
      </c>
      <c r="H113">
        <f t="shared" si="5"/>
        <v>2.7484845968612337</v>
      </c>
      <c r="I113" s="11">
        <f t="shared" si="6"/>
        <v>3.0000000000000027E-2</v>
      </c>
      <c r="J113" s="11">
        <v>0.97</v>
      </c>
      <c r="K113" s="11">
        <v>6.1366876028703742E-2</v>
      </c>
      <c r="L113" s="11">
        <v>0.51785460432779895</v>
      </c>
    </row>
    <row r="114" spans="3:12">
      <c r="C114">
        <v>8553.4249999999993</v>
      </c>
      <c r="D114">
        <f t="shared" si="4"/>
        <v>0.15280359468992089</v>
      </c>
      <c r="G114">
        <v>15.623749999999999</v>
      </c>
      <c r="H114">
        <f t="shared" si="5"/>
        <v>1.0101826410215065</v>
      </c>
      <c r="I114" s="11">
        <f t="shared" si="6"/>
        <v>2.0000000000000018E-2</v>
      </c>
      <c r="J114" s="11">
        <v>0.98</v>
      </c>
      <c r="K114" s="11">
        <v>6.2189880863779003E-2</v>
      </c>
      <c r="L114" s="11">
        <v>0.55101888016985179</v>
      </c>
    </row>
    <row r="115" spans="3:12">
      <c r="C115">
        <v>8536.375</v>
      </c>
      <c r="D115">
        <f t="shared" si="4"/>
        <v>-0.19933535396639002</v>
      </c>
      <c r="G115">
        <v>15.8125</v>
      </c>
      <c r="H115">
        <f t="shared" si="5"/>
        <v>1.2080966477318267</v>
      </c>
      <c r="I115" s="11">
        <f t="shared" si="6"/>
        <v>1.0000000000000009E-2</v>
      </c>
      <c r="J115" s="11">
        <v>0.99</v>
      </c>
      <c r="K115" s="11">
        <v>6.3012885698854271E-2</v>
      </c>
      <c r="L115" s="11">
        <v>0.58685697170930418</v>
      </c>
    </row>
    <row r="116" spans="3:12">
      <c r="C116">
        <v>8521.4249999999993</v>
      </c>
      <c r="D116">
        <f t="shared" si="4"/>
        <v>-0.17513288720329978</v>
      </c>
      <c r="G116">
        <v>15.891249999999999</v>
      </c>
      <c r="H116">
        <f t="shared" si="5"/>
        <v>0.49802371541500801</v>
      </c>
      <c r="I116" s="11">
        <f t="shared" si="6"/>
        <v>0</v>
      </c>
      <c r="J116" s="11">
        <v>1</v>
      </c>
      <c r="K116" s="11">
        <v>6.3835890533929532E-2</v>
      </c>
      <c r="L116" s="11">
        <v>0.62536887894615578</v>
      </c>
    </row>
    <row r="117" spans="3:12">
      <c r="C117">
        <v>8540.6500000000015</v>
      </c>
      <c r="D117">
        <f t="shared" si="4"/>
        <v>0.22560780620615173</v>
      </c>
      <c r="G117">
        <v>15.8925</v>
      </c>
      <c r="H117">
        <f t="shared" si="5"/>
        <v>7.8659639738853926E-3</v>
      </c>
    </row>
    <row r="118" spans="3:12">
      <c r="C118">
        <v>8546.4000000000015</v>
      </c>
      <c r="D118">
        <f t="shared" si="4"/>
        <v>6.7325086498093434E-2</v>
      </c>
      <c r="G118">
        <v>15.85125</v>
      </c>
      <c r="H118">
        <f t="shared" si="5"/>
        <v>-0.25955639452571733</v>
      </c>
    </row>
    <row r="119" spans="3:12">
      <c r="C119">
        <v>8530.4249999999993</v>
      </c>
      <c r="D119">
        <f t="shared" si="4"/>
        <v>-0.18692080876161477</v>
      </c>
      <c r="G119">
        <v>15.605</v>
      </c>
      <c r="H119">
        <f t="shared" si="5"/>
        <v>-1.5535052440659225</v>
      </c>
    </row>
    <row r="120" spans="3:12">
      <c r="C120">
        <v>8577.7999999999993</v>
      </c>
      <c r="D120">
        <f t="shared" si="4"/>
        <v>0.55536506094362448</v>
      </c>
      <c r="G120">
        <v>15.6075</v>
      </c>
      <c r="H120">
        <f t="shared" si="5"/>
        <v>1.6020506248004551E-2</v>
      </c>
    </row>
    <row r="121" spans="3:12">
      <c r="C121">
        <v>8612.2000000000007</v>
      </c>
      <c r="D121">
        <f t="shared" si="4"/>
        <v>0.40103523047869682</v>
      </c>
      <c r="G121">
        <v>15.668749999999999</v>
      </c>
      <c r="H121">
        <f t="shared" si="5"/>
        <v>0.39243953227614536</v>
      </c>
    </row>
    <row r="122" spans="3:12">
      <c r="C122">
        <v>8607.5999999999985</v>
      </c>
      <c r="D122">
        <f t="shared" si="4"/>
        <v>-5.3412600729219051E-2</v>
      </c>
      <c r="G122">
        <v>15.52375</v>
      </c>
      <c r="H122">
        <f t="shared" si="5"/>
        <v>-0.92540885520542293</v>
      </c>
    </row>
    <row r="123" spans="3:12">
      <c r="C123">
        <v>8651.625</v>
      </c>
      <c r="D123">
        <f t="shared" si="4"/>
        <v>0.51146661090200052</v>
      </c>
      <c r="G123">
        <v>15.287500000000001</v>
      </c>
      <c r="H123">
        <f t="shared" si="5"/>
        <v>-1.521861663579982</v>
      </c>
    </row>
    <row r="124" spans="3:12">
      <c r="C124">
        <v>8653.4</v>
      </c>
      <c r="D124">
        <f t="shared" si="4"/>
        <v>2.0516376981194462E-2</v>
      </c>
      <c r="G124">
        <v>15.032500000000001</v>
      </c>
      <c r="H124">
        <f t="shared" si="5"/>
        <v>-1.6680294358135783</v>
      </c>
    </row>
    <row r="125" spans="3:12">
      <c r="C125">
        <v>8645.4249999999993</v>
      </c>
      <c r="D125">
        <f t="shared" si="4"/>
        <v>-9.2160306931388103E-2</v>
      </c>
      <c r="G125">
        <v>15.04875</v>
      </c>
      <c r="H125">
        <f t="shared" si="5"/>
        <v>0.10809911857641019</v>
      </c>
    </row>
    <row r="126" spans="3:12">
      <c r="C126">
        <v>8635.1749999999993</v>
      </c>
      <c r="D126">
        <f t="shared" si="4"/>
        <v>-0.11855981631903045</v>
      </c>
      <c r="G126">
        <v>15.436250000000001</v>
      </c>
      <c r="H126">
        <f t="shared" si="5"/>
        <v>2.5749646980646412</v>
      </c>
    </row>
    <row r="127" spans="3:12">
      <c r="C127">
        <v>8590.0250000000015</v>
      </c>
      <c r="D127">
        <f t="shared" si="4"/>
        <v>-0.52286143592917833</v>
      </c>
      <c r="G127">
        <v>15.965</v>
      </c>
      <c r="H127">
        <f t="shared" si="5"/>
        <v>3.4253785731638065</v>
      </c>
    </row>
    <row r="128" spans="3:12">
      <c r="C128">
        <v>8575.5250000000015</v>
      </c>
      <c r="D128">
        <f t="shared" si="4"/>
        <v>-0.16880044004528028</v>
      </c>
      <c r="G128">
        <v>15.688750000000001</v>
      </c>
      <c r="H128">
        <f t="shared" si="5"/>
        <v>-1.7303476354525449</v>
      </c>
    </row>
    <row r="129" spans="3:8">
      <c r="C129">
        <v>8641.6749999999993</v>
      </c>
      <c r="D129">
        <f t="shared" si="4"/>
        <v>0.77138134399932223</v>
      </c>
      <c r="G129">
        <v>14.74625</v>
      </c>
      <c r="H129">
        <f t="shared" si="5"/>
        <v>-6.0074894430722665</v>
      </c>
    </row>
    <row r="130" spans="3:8">
      <c r="C130">
        <v>8712.1</v>
      </c>
      <c r="D130">
        <f t="shared" si="4"/>
        <v>0.814946176522513</v>
      </c>
      <c r="G130">
        <v>14.469999999999999</v>
      </c>
      <c r="H130">
        <f t="shared" si="5"/>
        <v>-1.8733576332966129</v>
      </c>
    </row>
    <row r="131" spans="3:8">
      <c r="C131">
        <v>8703.0249999999996</v>
      </c>
      <c r="D131">
        <f t="shared" si="4"/>
        <v>-0.1041654710115858</v>
      </c>
      <c r="G131">
        <v>14.5625</v>
      </c>
      <c r="H131">
        <f t="shared" si="5"/>
        <v>0.63925362819627907</v>
      </c>
    </row>
    <row r="132" spans="3:8">
      <c r="C132">
        <v>8631</v>
      </c>
      <c r="D132">
        <f t="shared" si="4"/>
        <v>-0.82758581068076431</v>
      </c>
      <c r="G132">
        <v>14.73</v>
      </c>
      <c r="H132">
        <f t="shared" si="5"/>
        <v>1.1502145922746898</v>
      </c>
    </row>
    <row r="133" spans="3:8">
      <c r="C133">
        <v>8582.4749999999985</v>
      </c>
      <c r="D133">
        <f t="shared" si="4"/>
        <v>-0.56221758776504593</v>
      </c>
      <c r="G133">
        <v>14.567499999999999</v>
      </c>
      <c r="H133">
        <f t="shared" si="5"/>
        <v>-1.1031907671418928</v>
      </c>
    </row>
    <row r="134" spans="3:8">
      <c r="C134">
        <v>8638.7999999999993</v>
      </c>
      <c r="D134">
        <f t="shared" si="4"/>
        <v>0.6562792201550316</v>
      </c>
      <c r="G134">
        <v>13.991250000000001</v>
      </c>
      <c r="H134">
        <f t="shared" si="5"/>
        <v>-3.9557233567873551</v>
      </c>
    </row>
    <row r="135" spans="3:8">
      <c r="C135">
        <v>8656.4</v>
      </c>
      <c r="D135">
        <f t="shared" si="4"/>
        <v>0.20373199981478241</v>
      </c>
      <c r="G135">
        <v>13.97625</v>
      </c>
      <c r="H135">
        <f t="shared" si="5"/>
        <v>-0.10720986330743365</v>
      </c>
    </row>
    <row r="136" spans="3:8">
      <c r="C136">
        <v>8631.9249999999993</v>
      </c>
      <c r="D136">
        <f t="shared" ref="D136:D199" si="7">((C136/C135)-1)*100</f>
        <v>-0.28273878286586562</v>
      </c>
      <c r="G136">
        <v>14.481249999999999</v>
      </c>
      <c r="H136">
        <f t="shared" ref="H136:H199" si="8">((G136/G135)-1)*100</f>
        <v>3.6132725158751322</v>
      </c>
    </row>
    <row r="137" spans="3:8">
      <c r="C137">
        <v>8661.0499999999993</v>
      </c>
      <c r="D137">
        <f t="shared" si="7"/>
        <v>0.33741025321698537</v>
      </c>
      <c r="G137">
        <v>14.664999999999999</v>
      </c>
      <c r="H137">
        <f t="shared" si="8"/>
        <v>1.2688821752265822</v>
      </c>
    </row>
    <row r="138" spans="3:8">
      <c r="C138">
        <v>8680.5999999999985</v>
      </c>
      <c r="D138">
        <f t="shared" si="7"/>
        <v>0.2257232090797201</v>
      </c>
      <c r="G138">
        <v>14.543749999999999</v>
      </c>
      <c r="H138">
        <f t="shared" si="8"/>
        <v>-0.82679849982952858</v>
      </c>
    </row>
    <row r="139" spans="3:8">
      <c r="C139">
        <v>8648.0750000000007</v>
      </c>
      <c r="D139">
        <f t="shared" si="7"/>
        <v>-0.37468608160723393</v>
      </c>
      <c r="G139">
        <v>14.38625</v>
      </c>
      <c r="H139">
        <f t="shared" si="8"/>
        <v>-1.0829394069617471</v>
      </c>
    </row>
    <row r="140" spans="3:8">
      <c r="C140">
        <v>8630.4750000000004</v>
      </c>
      <c r="D140">
        <f t="shared" si="7"/>
        <v>-0.20351349866878365</v>
      </c>
      <c r="G140">
        <v>14.06625</v>
      </c>
      <c r="H140">
        <f t="shared" si="8"/>
        <v>-2.2243461638717599</v>
      </c>
    </row>
    <row r="141" spans="3:8">
      <c r="C141">
        <v>8649.4</v>
      </c>
      <c r="D141">
        <f t="shared" si="7"/>
        <v>0.21928109403015483</v>
      </c>
      <c r="G141">
        <v>13.692500000000001</v>
      </c>
      <c r="H141">
        <f t="shared" si="8"/>
        <v>-2.6570692259841766</v>
      </c>
    </row>
    <row r="142" spans="3:8">
      <c r="C142">
        <v>8630.5250000000015</v>
      </c>
      <c r="D142">
        <f t="shared" si="7"/>
        <v>-0.21822322935692862</v>
      </c>
      <c r="G142">
        <v>13.38625</v>
      </c>
      <c r="H142">
        <f t="shared" si="8"/>
        <v>-2.2366258900858194</v>
      </c>
    </row>
    <row r="143" spans="3:8">
      <c r="C143">
        <v>8593.4500000000007</v>
      </c>
      <c r="D143">
        <f t="shared" si="7"/>
        <v>-0.42957989230087978</v>
      </c>
      <c r="G143">
        <v>13.4275</v>
      </c>
      <c r="H143">
        <f t="shared" si="8"/>
        <v>0.3081520216640099</v>
      </c>
    </row>
    <row r="144" spans="3:8">
      <c r="C144">
        <v>8595.6</v>
      </c>
      <c r="D144">
        <f t="shared" si="7"/>
        <v>2.5019055210639962E-2</v>
      </c>
      <c r="G144">
        <v>13.3675</v>
      </c>
      <c r="H144">
        <f t="shared" si="8"/>
        <v>-0.44684416309812569</v>
      </c>
    </row>
    <row r="145" spans="3:8">
      <c r="C145">
        <v>8695.5499999999993</v>
      </c>
      <c r="D145">
        <f t="shared" si="7"/>
        <v>1.1628042254176352</v>
      </c>
      <c r="G145">
        <v>13.092499999999999</v>
      </c>
      <c r="H145">
        <f t="shared" si="8"/>
        <v>-2.057228352347118</v>
      </c>
    </row>
    <row r="146" spans="3:8">
      <c r="C146">
        <v>8770.125</v>
      </c>
      <c r="D146">
        <f t="shared" si="7"/>
        <v>0.85762257706529788</v>
      </c>
      <c r="G146">
        <v>13.13125</v>
      </c>
      <c r="H146">
        <f t="shared" si="8"/>
        <v>0.29597097574947107</v>
      </c>
    </row>
    <row r="147" spans="3:8">
      <c r="C147">
        <v>8784.125</v>
      </c>
      <c r="D147">
        <f t="shared" si="7"/>
        <v>0.15963284445774661</v>
      </c>
      <c r="G147">
        <v>13.29125</v>
      </c>
      <c r="H147">
        <f t="shared" si="8"/>
        <v>1.2184673964778625</v>
      </c>
    </row>
    <row r="148" spans="3:8">
      <c r="C148">
        <v>8803</v>
      </c>
      <c r="D148">
        <f t="shared" si="7"/>
        <v>0.2148762682680383</v>
      </c>
      <c r="G148">
        <v>13.14</v>
      </c>
      <c r="H148">
        <f t="shared" si="8"/>
        <v>-1.1379667074202904</v>
      </c>
    </row>
    <row r="149" spans="3:8">
      <c r="C149">
        <v>8897.85</v>
      </c>
      <c r="D149">
        <f t="shared" si="7"/>
        <v>1.0774735885493714</v>
      </c>
      <c r="G149">
        <v>12.844999999999999</v>
      </c>
      <c r="H149">
        <f t="shared" si="8"/>
        <v>-2.2450532724505479</v>
      </c>
    </row>
    <row r="150" spans="3:8">
      <c r="C150">
        <v>8943.3250000000007</v>
      </c>
      <c r="D150">
        <f t="shared" si="7"/>
        <v>0.51107851896807777</v>
      </c>
      <c r="G150">
        <v>12.9475</v>
      </c>
      <c r="H150">
        <f t="shared" si="8"/>
        <v>0.79797586609575699</v>
      </c>
    </row>
    <row r="151" spans="3:8">
      <c r="C151">
        <v>8934</v>
      </c>
      <c r="D151">
        <f t="shared" si="7"/>
        <v>-0.10426770803924068</v>
      </c>
      <c r="G151">
        <v>13.129999999999999</v>
      </c>
      <c r="H151">
        <f t="shared" si="8"/>
        <v>1.4095385209499822</v>
      </c>
    </row>
    <row r="152" spans="3:8">
      <c r="C152">
        <v>8900.5</v>
      </c>
      <c r="D152">
        <f t="shared" si="7"/>
        <v>-0.37497201701365279</v>
      </c>
      <c r="G152">
        <v>13.172499999999999</v>
      </c>
      <c r="H152">
        <f t="shared" si="8"/>
        <v>0.32368621477532056</v>
      </c>
    </row>
    <row r="153" spans="3:8">
      <c r="C153">
        <v>8724.2750000000015</v>
      </c>
      <c r="D153">
        <f t="shared" si="7"/>
        <v>-1.9799449469130814</v>
      </c>
      <c r="G153">
        <v>14.234999999999999</v>
      </c>
      <c r="H153">
        <f t="shared" si="8"/>
        <v>8.0660466881761206</v>
      </c>
    </row>
    <row r="154" spans="3:8">
      <c r="C154">
        <v>8718.625</v>
      </c>
      <c r="D154">
        <f t="shared" si="7"/>
        <v>-6.4761828346782124E-2</v>
      </c>
      <c r="G154">
        <v>15.001249999999999</v>
      </c>
      <c r="H154">
        <f t="shared" si="8"/>
        <v>5.3828591499824441</v>
      </c>
    </row>
    <row r="155" spans="3:8">
      <c r="C155">
        <v>8743.2000000000007</v>
      </c>
      <c r="D155">
        <f t="shared" si="7"/>
        <v>0.28186784039916368</v>
      </c>
      <c r="G155">
        <v>14.719999999999999</v>
      </c>
      <c r="H155">
        <f t="shared" si="8"/>
        <v>-1.8748437630197512</v>
      </c>
    </row>
    <row r="156" spans="3:8">
      <c r="C156">
        <v>8780.35</v>
      </c>
      <c r="D156">
        <f t="shared" si="7"/>
        <v>0.42490163784425494</v>
      </c>
      <c r="G156">
        <v>14.62875</v>
      </c>
      <c r="H156">
        <f t="shared" si="8"/>
        <v>-0.61990489130433479</v>
      </c>
    </row>
    <row r="157" spans="3:8">
      <c r="C157">
        <v>8798.4249999999993</v>
      </c>
      <c r="D157">
        <f t="shared" si="7"/>
        <v>0.20585739748413268</v>
      </c>
      <c r="G157">
        <v>14.76</v>
      </c>
      <c r="H157">
        <f t="shared" si="8"/>
        <v>0.89720584465522446</v>
      </c>
    </row>
    <row r="158" spans="3:8">
      <c r="C158">
        <v>8796</v>
      </c>
      <c r="D158">
        <f t="shared" si="7"/>
        <v>-2.7561751108851062E-2</v>
      </c>
      <c r="G158">
        <v>14.86</v>
      </c>
      <c r="H158">
        <f t="shared" si="8"/>
        <v>0.67750677506774881</v>
      </c>
    </row>
    <row r="159" spans="3:8">
      <c r="C159">
        <v>8783.7249999999985</v>
      </c>
      <c r="D159">
        <f t="shared" si="7"/>
        <v>-0.13955206912233953</v>
      </c>
      <c r="G159">
        <v>14.7925</v>
      </c>
      <c r="H159">
        <f t="shared" si="8"/>
        <v>-0.45423956931358589</v>
      </c>
    </row>
    <row r="160" spans="3:8">
      <c r="C160">
        <v>8870.4000000000015</v>
      </c>
      <c r="D160">
        <f t="shared" si="7"/>
        <v>0.98676814221760889</v>
      </c>
      <c r="G160">
        <v>14.0725</v>
      </c>
      <c r="H160">
        <f t="shared" si="8"/>
        <v>-4.8673314179482841</v>
      </c>
    </row>
    <row r="161" spans="3:8">
      <c r="C161">
        <v>8856.15</v>
      </c>
      <c r="D161">
        <f t="shared" si="7"/>
        <v>-0.16064664502166703</v>
      </c>
      <c r="G161">
        <v>13.293749999999999</v>
      </c>
      <c r="H161">
        <f t="shared" si="8"/>
        <v>-5.5338426008171959</v>
      </c>
    </row>
    <row r="162" spans="3:8">
      <c r="C162">
        <v>8765.4749999999985</v>
      </c>
      <c r="D162">
        <f>((C162/C161)-1)*100</f>
        <v>-1.0238647719381544</v>
      </c>
      <c r="G162">
        <v>13.90625</v>
      </c>
      <c r="H162">
        <f>((G162/G161)-1)*100</f>
        <v>4.6074283027738749</v>
      </c>
    </row>
    <row r="163" spans="3:8">
      <c r="C163">
        <v>8727.65</v>
      </c>
      <c r="D163">
        <f t="shared" si="7"/>
        <v>-0.43152253585799771</v>
      </c>
      <c r="G163">
        <v>14.407499999999999</v>
      </c>
      <c r="H163">
        <f t="shared" si="8"/>
        <v>3.6044943820224606</v>
      </c>
    </row>
    <row r="164" spans="3:8">
      <c r="C164">
        <v>8728.1749999999993</v>
      </c>
      <c r="D164">
        <f t="shared" si="7"/>
        <v>6.0153649607874726E-3</v>
      </c>
      <c r="G164">
        <v>14.04875</v>
      </c>
      <c r="H164">
        <f t="shared" si="8"/>
        <v>-2.490022557695637</v>
      </c>
    </row>
    <row r="165" spans="3:8">
      <c r="C165">
        <v>8691.9750000000004</v>
      </c>
      <c r="D165">
        <f t="shared" si="7"/>
        <v>-0.41474878769042212</v>
      </c>
      <c r="G165">
        <v>16.14875</v>
      </c>
      <c r="H165">
        <f t="shared" si="8"/>
        <v>14.947949105792336</v>
      </c>
    </row>
    <row r="166" spans="3:8">
      <c r="C166">
        <v>8596.3250000000007</v>
      </c>
      <c r="D166">
        <f t="shared" si="7"/>
        <v>-1.1004403487124614</v>
      </c>
      <c r="G166">
        <v>17.814999999999998</v>
      </c>
      <c r="H166">
        <f t="shared" si="8"/>
        <v>10.318136078643846</v>
      </c>
    </row>
    <row r="167" spans="3:8">
      <c r="C167">
        <v>8702.125</v>
      </c>
      <c r="D167">
        <f t="shared" si="7"/>
        <v>1.2307584927279791</v>
      </c>
      <c r="G167">
        <v>16.399999999999999</v>
      </c>
      <c r="H167">
        <f t="shared" si="8"/>
        <v>-7.942744877911867</v>
      </c>
    </row>
    <row r="168" spans="3:8">
      <c r="C168">
        <v>8769.5750000000007</v>
      </c>
      <c r="D168">
        <f t="shared" si="7"/>
        <v>0.77509803639916885</v>
      </c>
      <c r="G168">
        <v>15.306249999999999</v>
      </c>
      <c r="H168">
        <f t="shared" si="8"/>
        <v>-6.6692073170731669</v>
      </c>
    </row>
    <row r="169" spans="3:8">
      <c r="C169">
        <v>8775.1500000000015</v>
      </c>
      <c r="D169">
        <f t="shared" si="7"/>
        <v>6.3572065921113641E-2</v>
      </c>
      <c r="G169">
        <v>14.95875</v>
      </c>
      <c r="H169">
        <f t="shared" si="8"/>
        <v>-2.270314414046537</v>
      </c>
    </row>
    <row r="170" spans="3:8">
      <c r="C170">
        <v>8739.125</v>
      </c>
      <c r="D170">
        <f t="shared" si="7"/>
        <v>-0.41053429286110887</v>
      </c>
      <c r="G170">
        <v>14.88</v>
      </c>
      <c r="H170">
        <f t="shared" si="8"/>
        <v>-0.52644773126095945</v>
      </c>
    </row>
    <row r="171" spans="3:8">
      <c r="C171">
        <v>8709.6500000000015</v>
      </c>
      <c r="D171">
        <f t="shared" si="7"/>
        <v>-0.3372763291519254</v>
      </c>
      <c r="G171">
        <v>14.66</v>
      </c>
      <c r="H171">
        <f t="shared" si="8"/>
        <v>-1.4784946236559127</v>
      </c>
    </row>
    <row r="172" spans="3:8">
      <c r="C172">
        <v>8722.0750000000007</v>
      </c>
      <c r="D172">
        <f t="shared" si="7"/>
        <v>0.14265785651546015</v>
      </c>
      <c r="G172">
        <v>14.385</v>
      </c>
      <c r="H172">
        <f t="shared" si="8"/>
        <v>-1.8758526603001369</v>
      </c>
    </row>
    <row r="173" spans="3:8">
      <c r="C173">
        <v>8622.4249999999993</v>
      </c>
      <c r="D173">
        <f t="shared" si="7"/>
        <v>-1.142503360725533</v>
      </c>
      <c r="G173">
        <v>14.855</v>
      </c>
      <c r="H173">
        <f t="shared" si="8"/>
        <v>3.2672923183872049</v>
      </c>
    </row>
    <row r="174" spans="3:8">
      <c r="C174">
        <v>8588.7000000000007</v>
      </c>
      <c r="D174">
        <f t="shared" si="7"/>
        <v>-0.39113126527627884</v>
      </c>
      <c r="G174">
        <v>15.15625</v>
      </c>
      <c r="H174">
        <f t="shared" si="8"/>
        <v>2.0279367216425426</v>
      </c>
    </row>
    <row r="175" spans="3:8">
      <c r="C175">
        <v>8566.6749999999993</v>
      </c>
      <c r="D175">
        <f t="shared" si="7"/>
        <v>-0.25644160350228873</v>
      </c>
      <c r="G175">
        <v>15.271249999999998</v>
      </c>
      <c r="H175">
        <f t="shared" si="8"/>
        <v>0.75876288659793012</v>
      </c>
    </row>
    <row r="176" spans="3:8">
      <c r="C176">
        <v>8616.9749999999985</v>
      </c>
      <c r="D176">
        <f t="shared" si="7"/>
        <v>0.58715896190761896</v>
      </c>
      <c r="G176">
        <v>15.09625</v>
      </c>
      <c r="H176">
        <f t="shared" si="8"/>
        <v>-1.1459441761479838</v>
      </c>
    </row>
    <row r="177" spans="3:8">
      <c r="C177">
        <v>8678.2999999999993</v>
      </c>
      <c r="D177">
        <f t="shared" si="7"/>
        <v>0.71167666147344821</v>
      </c>
      <c r="G177">
        <v>14.574999999999999</v>
      </c>
      <c r="H177">
        <f t="shared" si="8"/>
        <v>-3.4528442493996891</v>
      </c>
    </row>
    <row r="178" spans="3:8">
      <c r="C178">
        <v>8696.375</v>
      </c>
      <c r="D178">
        <f t="shared" si="7"/>
        <v>0.2082781189864491</v>
      </c>
      <c r="G178">
        <v>14.38875</v>
      </c>
      <c r="H178">
        <f t="shared" si="8"/>
        <v>-1.2778730703258967</v>
      </c>
    </row>
    <row r="179" spans="3:8">
      <c r="C179">
        <v>8700.8250000000007</v>
      </c>
      <c r="D179">
        <f t="shared" si="7"/>
        <v>5.1170746431705716E-2</v>
      </c>
      <c r="G179">
        <v>13.997499999999999</v>
      </c>
      <c r="H179">
        <f t="shared" si="8"/>
        <v>-2.719138215619854</v>
      </c>
    </row>
    <row r="180" spans="3:8">
      <c r="C180">
        <v>8709.4000000000015</v>
      </c>
      <c r="D180">
        <f t="shared" si="7"/>
        <v>9.8553872764939321E-2</v>
      </c>
      <c r="G180">
        <v>14.081250000000001</v>
      </c>
      <c r="H180">
        <f t="shared" si="8"/>
        <v>0.59832112877300503</v>
      </c>
    </row>
    <row r="181" spans="3:8">
      <c r="C181">
        <v>8706.5</v>
      </c>
      <c r="D181">
        <f t="shared" si="7"/>
        <v>-3.3297356878791984E-2</v>
      </c>
      <c r="G181">
        <v>14.407499999999999</v>
      </c>
      <c r="H181">
        <f t="shared" si="8"/>
        <v>2.3169107856191529</v>
      </c>
    </row>
    <row r="182" spans="3:8">
      <c r="C182">
        <v>8636.2749999999996</v>
      </c>
      <c r="D182">
        <f t="shared" si="7"/>
        <v>-0.80658128984092414</v>
      </c>
      <c r="G182">
        <v>14.467500000000001</v>
      </c>
      <c r="H182">
        <f t="shared" si="8"/>
        <v>0.41644976574701786</v>
      </c>
    </row>
    <row r="183" spans="3:8">
      <c r="C183">
        <v>8611.1749999999993</v>
      </c>
      <c r="D183">
        <f t="shared" si="7"/>
        <v>-0.29063456177577107</v>
      </c>
      <c r="G183">
        <v>14.268750000000001</v>
      </c>
      <c r="H183">
        <f t="shared" si="8"/>
        <v>-1.3737687921202779</v>
      </c>
    </row>
    <row r="184" spans="3:8">
      <c r="C184">
        <v>8631.5</v>
      </c>
      <c r="D184">
        <f t="shared" si="7"/>
        <v>0.2360305068704438</v>
      </c>
      <c r="G184">
        <v>14.36875</v>
      </c>
      <c r="H184">
        <f t="shared" si="8"/>
        <v>0.70083223828296681</v>
      </c>
    </row>
    <row r="185" spans="3:8">
      <c r="C185">
        <v>8649.0250000000015</v>
      </c>
      <c r="D185">
        <f t="shared" si="7"/>
        <v>0.2030353936164131</v>
      </c>
      <c r="G185">
        <v>15.071249999999999</v>
      </c>
      <c r="H185">
        <f t="shared" si="8"/>
        <v>4.8890822096563591</v>
      </c>
    </row>
    <row r="186" spans="3:8">
      <c r="C186">
        <v>8639.7000000000007</v>
      </c>
      <c r="D186">
        <f t="shared" si="7"/>
        <v>-0.1078156208358827</v>
      </c>
      <c r="G186">
        <v>15.612500000000001</v>
      </c>
      <c r="H186">
        <f t="shared" si="8"/>
        <v>3.5912747781371879</v>
      </c>
    </row>
    <row r="187" spans="3:8">
      <c r="C187">
        <v>8528.4</v>
      </c>
      <c r="D187">
        <f t="shared" si="7"/>
        <v>-1.2882391749713618</v>
      </c>
      <c r="G187">
        <v>16.266249999999999</v>
      </c>
      <c r="H187">
        <f t="shared" si="8"/>
        <v>4.1873498799039233</v>
      </c>
    </row>
    <row r="188" spans="3:8">
      <c r="C188">
        <v>8492.4000000000015</v>
      </c>
      <c r="D188">
        <f t="shared" si="7"/>
        <v>-0.42211903756856906</v>
      </c>
      <c r="G188">
        <v>16.631250000000001</v>
      </c>
      <c r="H188">
        <f t="shared" si="8"/>
        <v>2.2439099362176362</v>
      </c>
    </row>
    <row r="189" spans="3:8">
      <c r="C189">
        <v>8468.6749999999993</v>
      </c>
      <c r="D189">
        <f t="shared" si="7"/>
        <v>-0.27936743441197009</v>
      </c>
      <c r="G189">
        <v>16.65625</v>
      </c>
      <c r="H189">
        <f t="shared" si="8"/>
        <v>0.15031942878616089</v>
      </c>
    </row>
    <row r="190" spans="3:8">
      <c r="C190">
        <v>8516.4</v>
      </c>
      <c r="D190">
        <f t="shared" si="7"/>
        <v>0.56354742625026599</v>
      </c>
      <c r="G190">
        <v>16.677500000000002</v>
      </c>
      <c r="H190">
        <f t="shared" si="8"/>
        <v>0.12757973733583672</v>
      </c>
    </row>
    <row r="191" spans="3:8">
      <c r="C191">
        <v>8541.7749999999996</v>
      </c>
      <c r="D191">
        <f t="shared" si="7"/>
        <v>0.29795453477996503</v>
      </c>
      <c r="G191">
        <v>16.638750000000002</v>
      </c>
      <c r="H191">
        <f t="shared" si="8"/>
        <v>-0.23234897316743996</v>
      </c>
    </row>
    <row r="192" spans="3:8">
      <c r="C192">
        <v>8249.75</v>
      </c>
      <c r="D192">
        <f t="shared" si="7"/>
        <v>-3.4187859080811567</v>
      </c>
      <c r="G192">
        <v>16.695</v>
      </c>
      <c r="H192">
        <f t="shared" si="8"/>
        <v>0.33806626098713544</v>
      </c>
    </row>
    <row r="193" spans="3:8">
      <c r="C193">
        <v>8540.6749999999993</v>
      </c>
      <c r="D193">
        <f t="shared" si="7"/>
        <v>3.5264704991060158</v>
      </c>
      <c r="G193">
        <v>16.03875</v>
      </c>
      <c r="H193">
        <f t="shared" si="8"/>
        <v>-3.9308176100628978</v>
      </c>
    </row>
    <row r="194" spans="3:8">
      <c r="C194">
        <v>8376.4749999999985</v>
      </c>
      <c r="D194">
        <f t="shared" si="7"/>
        <v>-1.922564668483473</v>
      </c>
      <c r="G194">
        <v>16.411249999999999</v>
      </c>
      <c r="H194">
        <f t="shared" si="8"/>
        <v>2.3225001948406154</v>
      </c>
    </row>
    <row r="195" spans="3:8">
      <c r="C195">
        <v>8196.65</v>
      </c>
      <c r="D195">
        <f t="shared" si="7"/>
        <v>-2.1467860884202383</v>
      </c>
      <c r="G195">
        <v>18.754999999999999</v>
      </c>
      <c r="H195">
        <f t="shared" si="8"/>
        <v>14.281361870667997</v>
      </c>
    </row>
    <row r="196" spans="3:8">
      <c r="C196">
        <v>8158.625</v>
      </c>
      <c r="D196">
        <f t="shared" si="7"/>
        <v>-0.463909036008614</v>
      </c>
      <c r="G196">
        <v>19.82375</v>
      </c>
      <c r="H196">
        <f t="shared" si="8"/>
        <v>5.6984804052252702</v>
      </c>
    </row>
    <row r="197" spans="3:8">
      <c r="C197">
        <v>8092.5249999999996</v>
      </c>
      <c r="D197">
        <f t="shared" si="7"/>
        <v>-0.8101855398428115</v>
      </c>
      <c r="G197">
        <v>19.106250000000003</v>
      </c>
      <c r="H197">
        <f t="shared" si="8"/>
        <v>-3.619395926603175</v>
      </c>
    </row>
    <row r="198" spans="3:8">
      <c r="C198">
        <v>8085.8250000000007</v>
      </c>
      <c r="D198">
        <f t="shared" si="7"/>
        <v>-8.2792453529634269E-2</v>
      </c>
      <c r="G198">
        <v>18.2575</v>
      </c>
      <c r="H198">
        <f t="shared" si="8"/>
        <v>-4.4422636571802565</v>
      </c>
    </row>
    <row r="199" spans="3:8">
      <c r="C199">
        <v>8015.6</v>
      </c>
      <c r="D199">
        <f t="shared" si="7"/>
        <v>-0.86849517519858033</v>
      </c>
      <c r="G199">
        <v>18.451250000000002</v>
      </c>
      <c r="H199">
        <f t="shared" si="8"/>
        <v>1.0612077228536299</v>
      </c>
    </row>
    <row r="200" spans="3:8">
      <c r="C200">
        <v>7995.7250000000004</v>
      </c>
      <c r="D200">
        <f t="shared" ref="D200:D250" si="9">((C200/C199)-1)*100</f>
        <v>-0.24795398972005112</v>
      </c>
      <c r="G200">
        <v>18.78125</v>
      </c>
      <c r="H200">
        <f t="shared" ref="H200:H250" si="10">((G200/G199)-1)*100</f>
        <v>1.7884967143147357</v>
      </c>
    </row>
    <row r="201" spans="3:8">
      <c r="C201">
        <v>8042.25</v>
      </c>
      <c r="D201">
        <f t="shared" si="9"/>
        <v>0.58187343861875185</v>
      </c>
      <c r="G201">
        <v>18.252499999999998</v>
      </c>
      <c r="H201">
        <f t="shared" si="10"/>
        <v>-2.8153078202995174</v>
      </c>
    </row>
    <row r="202" spans="3:8">
      <c r="C202">
        <v>7988.65</v>
      </c>
      <c r="D202">
        <f t="shared" si="9"/>
        <v>-0.666480151698845</v>
      </c>
      <c r="G202">
        <v>17.600000000000001</v>
      </c>
      <c r="H202">
        <f t="shared" si="10"/>
        <v>-3.5748527598958857</v>
      </c>
    </row>
    <row r="203" spans="3:8">
      <c r="C203">
        <v>8061.125</v>
      </c>
      <c r="D203">
        <f t="shared" si="9"/>
        <v>0.90722462493664224</v>
      </c>
      <c r="G203">
        <v>17.38625</v>
      </c>
      <c r="H203">
        <f t="shared" si="10"/>
        <v>-1.214488636363642</v>
      </c>
    </row>
    <row r="204" spans="3:8">
      <c r="C204">
        <v>8103.7749999999996</v>
      </c>
      <c r="D204">
        <f t="shared" si="9"/>
        <v>0.52908247918248552</v>
      </c>
      <c r="G204">
        <v>17.833750000000002</v>
      </c>
      <c r="H204">
        <f t="shared" si="10"/>
        <v>2.5738730318498826</v>
      </c>
    </row>
    <row r="205" spans="3:8">
      <c r="C205">
        <v>8136.85</v>
      </c>
      <c r="D205">
        <f t="shared" si="9"/>
        <v>0.40814311848491602</v>
      </c>
      <c r="G205">
        <v>17.881250000000001</v>
      </c>
      <c r="H205">
        <f t="shared" si="10"/>
        <v>0.26634891708137154</v>
      </c>
    </row>
    <row r="206" spans="3:8">
      <c r="C206">
        <v>8198.3250000000007</v>
      </c>
      <c r="D206">
        <f t="shared" si="9"/>
        <v>0.75551349723788075</v>
      </c>
      <c r="G206">
        <v>17.278750000000002</v>
      </c>
      <c r="H206">
        <f t="shared" si="10"/>
        <v>-3.3694512408248833</v>
      </c>
    </row>
    <row r="207" spans="3:8">
      <c r="C207">
        <v>8218.4500000000007</v>
      </c>
      <c r="D207">
        <f t="shared" si="9"/>
        <v>0.24547697243033628</v>
      </c>
      <c r="G207">
        <v>16.768750000000001</v>
      </c>
      <c r="H207">
        <f t="shared" si="10"/>
        <v>-2.9516024017941178</v>
      </c>
    </row>
    <row r="208" spans="3:8">
      <c r="C208">
        <v>8120.1750000000002</v>
      </c>
      <c r="D208">
        <f t="shared" si="9"/>
        <v>-1.1957850932961867</v>
      </c>
      <c r="G208">
        <v>17.310000000000002</v>
      </c>
      <c r="H208">
        <f t="shared" si="10"/>
        <v>3.2277301528140123</v>
      </c>
    </row>
    <row r="209" spans="3:8">
      <c r="C209">
        <v>8108.75</v>
      </c>
      <c r="D209">
        <f t="shared" si="9"/>
        <v>-0.14069893813865031</v>
      </c>
      <c r="G209">
        <v>17.61</v>
      </c>
      <c r="H209">
        <f t="shared" si="10"/>
        <v>1.7331022530329143</v>
      </c>
    </row>
    <row r="210" spans="3:8">
      <c r="C210">
        <v>8148.15</v>
      </c>
      <c r="D210">
        <f t="shared" si="9"/>
        <v>0.48589486665637782</v>
      </c>
      <c r="G210">
        <v>17.196249999999999</v>
      </c>
      <c r="H210">
        <f t="shared" si="10"/>
        <v>-2.3495173197047192</v>
      </c>
    </row>
    <row r="211" spans="3:8">
      <c r="C211">
        <v>8135.2250000000004</v>
      </c>
      <c r="D211">
        <f t="shared" si="9"/>
        <v>-0.15862496394886128</v>
      </c>
      <c r="G211">
        <v>16.975000000000001</v>
      </c>
      <c r="H211">
        <f t="shared" si="10"/>
        <v>-1.2866177218870289</v>
      </c>
    </row>
    <row r="212" spans="3:8">
      <c r="C212">
        <v>8199.4750000000004</v>
      </c>
      <c r="D212">
        <f t="shared" si="9"/>
        <v>0.78977532889379365</v>
      </c>
      <c r="G212">
        <v>16.184999999999999</v>
      </c>
      <c r="H212">
        <f t="shared" si="10"/>
        <v>-4.6539027982327124</v>
      </c>
    </row>
    <row r="213" spans="3:8">
      <c r="C213">
        <v>8266.7250000000004</v>
      </c>
      <c r="D213">
        <f t="shared" si="9"/>
        <v>0.82017446238935587</v>
      </c>
      <c r="G213">
        <v>15.296250000000001</v>
      </c>
      <c r="H213">
        <f t="shared" si="10"/>
        <v>-5.4911955514365012</v>
      </c>
    </row>
    <row r="214" spans="3:8">
      <c r="C214">
        <v>8200.7250000000004</v>
      </c>
      <c r="D214">
        <f t="shared" si="9"/>
        <v>-0.7983814630340258</v>
      </c>
      <c r="G214">
        <v>15.629999999999999</v>
      </c>
      <c r="H214">
        <f t="shared" si="10"/>
        <v>2.1819073302279834</v>
      </c>
    </row>
    <row r="215" spans="3:8">
      <c r="C215">
        <v>8208.9749999999985</v>
      </c>
      <c r="D215">
        <f t="shared" si="9"/>
        <v>0.10060086150918135</v>
      </c>
      <c r="G215">
        <v>16.057499999999997</v>
      </c>
      <c r="H215">
        <f t="shared" si="10"/>
        <v>2.735124760076757</v>
      </c>
    </row>
    <row r="216" spans="3:8">
      <c r="C216">
        <v>8205.9</v>
      </c>
      <c r="D216">
        <f t="shared" si="9"/>
        <v>-3.7459000666939524E-2</v>
      </c>
      <c r="G216">
        <v>16.2575</v>
      </c>
      <c r="H216">
        <f t="shared" si="10"/>
        <v>1.2455238984898198</v>
      </c>
    </row>
    <row r="217" spans="3:8">
      <c r="C217">
        <v>8141</v>
      </c>
      <c r="D217">
        <f t="shared" si="9"/>
        <v>-0.79089435649958295</v>
      </c>
      <c r="G217">
        <v>16.123750000000001</v>
      </c>
      <c r="H217">
        <f t="shared" si="10"/>
        <v>-0.82269721666922146</v>
      </c>
    </row>
    <row r="218" spans="3:8">
      <c r="C218">
        <v>8158.8249999999998</v>
      </c>
      <c r="D218">
        <f t="shared" si="9"/>
        <v>0.21895344552265161</v>
      </c>
      <c r="G218">
        <v>15.453749999999999</v>
      </c>
      <c r="H218">
        <f t="shared" si="10"/>
        <v>-4.1553608806884412</v>
      </c>
    </row>
    <row r="219" spans="3:8">
      <c r="C219">
        <v>8115.1750000000002</v>
      </c>
      <c r="D219">
        <f>((C219/C218)-1)*100</f>
        <v>-0.53500350847088818</v>
      </c>
      <c r="G219">
        <v>15.045</v>
      </c>
      <c r="H219">
        <f>((G219/G218)-1)*100</f>
        <v>-2.6449890803203036</v>
      </c>
    </row>
    <row r="220" spans="3:8">
      <c r="C220">
        <v>8096.5</v>
      </c>
      <c r="D220">
        <f t="shared" si="9"/>
        <v>-0.23012442738450378</v>
      </c>
      <c r="G220">
        <v>14.6875</v>
      </c>
      <c r="H220">
        <f t="shared" si="10"/>
        <v>-2.3762047191758007</v>
      </c>
    </row>
    <row r="221" spans="3:8">
      <c r="C221">
        <v>8083.5750000000007</v>
      </c>
      <c r="D221">
        <f t="shared" si="9"/>
        <v>-0.15963688013338473</v>
      </c>
      <c r="G221">
        <v>14.62125</v>
      </c>
      <c r="H221">
        <f t="shared" si="10"/>
        <v>-0.45106382978723492</v>
      </c>
    </row>
    <row r="222" spans="3:8">
      <c r="C222">
        <v>8011.4750000000004</v>
      </c>
      <c r="D222">
        <f t="shared" si="9"/>
        <v>-0.89193209687545849</v>
      </c>
      <c r="G222">
        <v>15.12875</v>
      </c>
      <c r="H222">
        <f t="shared" si="10"/>
        <v>3.4709754637941348</v>
      </c>
    </row>
    <row r="223" spans="3:8">
      <c r="C223">
        <v>7979.125</v>
      </c>
      <c r="D223">
        <f t="shared" si="9"/>
        <v>-0.40379580539164905</v>
      </c>
      <c r="G223">
        <v>15.34</v>
      </c>
      <c r="H223">
        <f t="shared" si="10"/>
        <v>1.3963480128893702</v>
      </c>
    </row>
    <row r="224" spans="3:8">
      <c r="C224">
        <v>7936.6750000000002</v>
      </c>
      <c r="D224">
        <f t="shared" si="9"/>
        <v>-0.53201322200115975</v>
      </c>
      <c r="G224">
        <v>15.864999999999998</v>
      </c>
      <c r="H224">
        <f t="shared" si="10"/>
        <v>3.4224250325945116</v>
      </c>
    </row>
    <row r="225" spans="3:8">
      <c r="C225">
        <v>7973.9500000000007</v>
      </c>
      <c r="D225">
        <f t="shared" si="9"/>
        <v>0.46965511375987035</v>
      </c>
      <c r="G225">
        <v>15.842499999999999</v>
      </c>
      <c r="H225">
        <f t="shared" si="10"/>
        <v>-0.14182161991804776</v>
      </c>
    </row>
    <row r="226" spans="3:8">
      <c r="C226">
        <v>8041.2000000000007</v>
      </c>
      <c r="D226">
        <f t="shared" si="9"/>
        <v>0.84337122755973049</v>
      </c>
      <c r="G226">
        <v>15.3125</v>
      </c>
      <c r="H226">
        <f t="shared" si="10"/>
        <v>-3.34543159223607</v>
      </c>
    </row>
    <row r="227" spans="3:8">
      <c r="C227">
        <v>8067.1</v>
      </c>
      <c r="D227">
        <f t="shared" si="9"/>
        <v>0.32209123016464503</v>
      </c>
      <c r="G227">
        <v>15.412500000000001</v>
      </c>
      <c r="H227">
        <f t="shared" si="10"/>
        <v>0.65306122448980375</v>
      </c>
    </row>
    <row r="228" spans="3:8">
      <c r="C228">
        <v>8152.7250000000004</v>
      </c>
      <c r="D228">
        <f t="shared" si="9"/>
        <v>1.0614099242602704</v>
      </c>
      <c r="G228">
        <v>15.373750000000001</v>
      </c>
      <c r="H228">
        <f t="shared" si="10"/>
        <v>-0.25141930251419975</v>
      </c>
    </row>
    <row r="229" spans="3:8">
      <c r="C229">
        <v>8194.7999999999993</v>
      </c>
      <c r="D229">
        <f t="shared" si="9"/>
        <v>0.51608511264638057</v>
      </c>
      <c r="G229">
        <v>15.647500000000001</v>
      </c>
      <c r="H229">
        <f t="shared" si="10"/>
        <v>1.7806325717538041</v>
      </c>
    </row>
    <row r="230" spans="3:8">
      <c r="C230">
        <v>8194.15</v>
      </c>
      <c r="D230">
        <f t="shared" si="9"/>
        <v>-7.93185922779438E-3</v>
      </c>
      <c r="G230">
        <v>15.893750000000001</v>
      </c>
      <c r="H230">
        <f t="shared" si="10"/>
        <v>1.5737338232944653</v>
      </c>
    </row>
    <row r="231" spans="3:8">
      <c r="C231">
        <v>8196.5750000000007</v>
      </c>
      <c r="D231">
        <f t="shared" si="9"/>
        <v>2.959428372681927E-2</v>
      </c>
      <c r="G231">
        <v>15.92375</v>
      </c>
      <c r="H231">
        <f t="shared" si="10"/>
        <v>0.18875344081792367</v>
      </c>
    </row>
    <row r="232" spans="3:8">
      <c r="C232">
        <v>8250.2249999999985</v>
      </c>
      <c r="D232">
        <f t="shared" si="9"/>
        <v>0.65454168356902098</v>
      </c>
      <c r="G232">
        <v>15.47</v>
      </c>
      <c r="H232">
        <f t="shared" si="10"/>
        <v>-2.8495172305518457</v>
      </c>
    </row>
    <row r="233" spans="3:8">
      <c r="C233">
        <v>8262.8250000000007</v>
      </c>
      <c r="D233">
        <f t="shared" si="9"/>
        <v>0.15272310755163332</v>
      </c>
      <c r="G233">
        <v>14.981249999999999</v>
      </c>
      <c r="H233">
        <f t="shared" si="10"/>
        <v>-3.1593406593406703</v>
      </c>
    </row>
    <row r="234" spans="3:8">
      <c r="C234">
        <v>8247.7000000000007</v>
      </c>
      <c r="D234">
        <f t="shared" si="9"/>
        <v>-0.18304877569111921</v>
      </c>
      <c r="G234">
        <v>15.196249999999999</v>
      </c>
      <c r="H234">
        <f t="shared" si="10"/>
        <v>1.4351272423863248</v>
      </c>
    </row>
    <row r="235" spans="3:8">
      <c r="C235">
        <v>8275.6500000000015</v>
      </c>
      <c r="D235">
        <f t="shared" si="9"/>
        <v>0.33888235508081621</v>
      </c>
      <c r="G235">
        <v>15.3375</v>
      </c>
      <c r="H235">
        <f t="shared" si="10"/>
        <v>0.92950563461380309</v>
      </c>
    </row>
    <row r="236" spans="3:8">
      <c r="C236">
        <v>8354.2249999999985</v>
      </c>
      <c r="D236">
        <f t="shared" si="9"/>
        <v>0.94947224689296839</v>
      </c>
      <c r="G236">
        <v>15.001249999999999</v>
      </c>
      <c r="H236">
        <f t="shared" si="10"/>
        <v>-2.1923390383048136</v>
      </c>
    </row>
    <row r="237" spans="3:8">
      <c r="C237">
        <v>8399.125</v>
      </c>
      <c r="D237">
        <f t="shared" si="9"/>
        <v>0.53745260631599123</v>
      </c>
      <c r="G237">
        <v>14.71</v>
      </c>
      <c r="H237">
        <f t="shared" si="10"/>
        <v>-1.9415048745937691</v>
      </c>
    </row>
    <row r="238" spans="3:8">
      <c r="C238">
        <v>8429</v>
      </c>
      <c r="D238">
        <f t="shared" si="9"/>
        <v>0.35569181313530596</v>
      </c>
      <c r="G238">
        <v>14.4975</v>
      </c>
      <c r="H238">
        <f t="shared" si="10"/>
        <v>-1.444595513256286</v>
      </c>
    </row>
    <row r="239" spans="3:8">
      <c r="C239">
        <v>8401.875</v>
      </c>
      <c r="D239">
        <f t="shared" si="9"/>
        <v>-0.32180567089808987</v>
      </c>
      <c r="G239">
        <v>14.723749999999999</v>
      </c>
      <c r="H239">
        <f t="shared" si="10"/>
        <v>1.5606138989480822</v>
      </c>
    </row>
    <row r="240" spans="3:8">
      <c r="C240">
        <v>8406.5249999999996</v>
      </c>
      <c r="D240">
        <f t="shared" si="9"/>
        <v>5.5344789109579295E-2</v>
      </c>
      <c r="G240">
        <v>15.22875</v>
      </c>
      <c r="H240">
        <f t="shared" si="10"/>
        <v>3.4298327532048534</v>
      </c>
    </row>
    <row r="241" spans="1:12">
      <c r="C241">
        <v>8410.4249999999993</v>
      </c>
      <c r="D241">
        <f t="shared" si="9"/>
        <v>4.6392534370620631E-2</v>
      </c>
      <c r="G241">
        <v>15.2875</v>
      </c>
      <c r="H241">
        <f t="shared" si="10"/>
        <v>0.38578346876796399</v>
      </c>
    </row>
    <row r="242" spans="1:12">
      <c r="C242">
        <v>8426.75</v>
      </c>
      <c r="D242">
        <f t="shared" si="9"/>
        <v>0.19410434074378369</v>
      </c>
      <c r="G242">
        <v>15.10125</v>
      </c>
      <c r="H242">
        <f t="shared" si="10"/>
        <v>-1.2183156173344201</v>
      </c>
    </row>
    <row r="243" spans="1:12">
      <c r="C243">
        <v>8376.85</v>
      </c>
      <c r="D243">
        <f t="shared" si="9"/>
        <v>-0.59216186548787242</v>
      </c>
      <c r="G243">
        <v>15.404999999999999</v>
      </c>
      <c r="H243">
        <f t="shared" si="10"/>
        <v>2.0114228954556612</v>
      </c>
    </row>
    <row r="244" spans="1:12">
      <c r="C244">
        <v>8360.5499999999993</v>
      </c>
      <c r="D244">
        <f t="shared" si="9"/>
        <v>-0.19458388296318407</v>
      </c>
      <c r="G244">
        <v>15.8475</v>
      </c>
      <c r="H244">
        <f t="shared" si="10"/>
        <v>2.8724440116845162</v>
      </c>
    </row>
    <row r="245" spans="1:12">
      <c r="C245">
        <v>8441.4249999999993</v>
      </c>
      <c r="D245">
        <f t="shared" si="9"/>
        <v>0.96734066538683994</v>
      </c>
      <c r="G245">
        <v>15.594999999999999</v>
      </c>
      <c r="H245">
        <f t="shared" si="10"/>
        <v>-1.5933112478308975</v>
      </c>
    </row>
    <row r="246" spans="1:12">
      <c r="C246">
        <v>8551.1</v>
      </c>
      <c r="D246">
        <f t="shared" si="9"/>
        <v>1.2992474611810412</v>
      </c>
      <c r="G246">
        <v>15.227499999999999</v>
      </c>
      <c r="H246">
        <f t="shared" si="10"/>
        <v>-2.3565245270920188</v>
      </c>
    </row>
    <row r="247" spans="1:12">
      <c r="C247">
        <v>8625.875</v>
      </c>
      <c r="D247">
        <f t="shared" si="9"/>
        <v>0.87444890131094244</v>
      </c>
      <c r="G247">
        <v>15.587499999999999</v>
      </c>
      <c r="H247">
        <f t="shared" si="10"/>
        <v>2.364143818748965</v>
      </c>
    </row>
    <row r="248" spans="1:12">
      <c r="C248">
        <v>8634.15</v>
      </c>
      <c r="D248">
        <f t="shared" si="9"/>
        <v>9.5932296723511001E-2</v>
      </c>
      <c r="G248">
        <v>16.337499999999999</v>
      </c>
      <c r="H248">
        <f t="shared" si="10"/>
        <v>4.8115477145148411</v>
      </c>
    </row>
    <row r="249" spans="1:12">
      <c r="C249">
        <v>8595.375</v>
      </c>
      <c r="D249">
        <f t="shared" si="9"/>
        <v>-0.44908879275897817</v>
      </c>
      <c r="G249">
        <v>16.747500000000002</v>
      </c>
      <c r="H249">
        <f t="shared" si="10"/>
        <v>2.5095638867635994</v>
      </c>
    </row>
    <row r="250" spans="1:12">
      <c r="C250">
        <v>8643.375</v>
      </c>
      <c r="D250">
        <f t="shared" si="9"/>
        <v>0.55843985864492129</v>
      </c>
      <c r="G250">
        <v>15.397500000000001</v>
      </c>
      <c r="H250">
        <f t="shared" si="10"/>
        <v>-8.0609046126287609</v>
      </c>
    </row>
    <row r="251" spans="1:12">
      <c r="C251" s="2" t="s">
        <v>32</v>
      </c>
      <c r="D251">
        <f>AVERAGE(D7:D250)</f>
        <v>6.3835890533929532E-2</v>
      </c>
      <c r="G251" s="2" t="s">
        <v>32</v>
      </c>
      <c r="H251">
        <f>AVERAGE(H7:H250)</f>
        <v>-1.8464592973596872E-2</v>
      </c>
    </row>
    <row r="252" spans="1:12">
      <c r="C252" s="2" t="s">
        <v>97</v>
      </c>
      <c r="D252">
        <f>_xlfn.STDEV.P(D7:D250)</f>
        <v>0.79080268015868271</v>
      </c>
      <c r="G252" s="2" t="s">
        <v>97</v>
      </c>
      <c r="H252">
        <f>_xlfn.STDEV.P(H7:H250)</f>
        <v>3.1637897934893986</v>
      </c>
    </row>
    <row r="255" spans="1:12">
      <c r="A255" s="22"/>
      <c r="B255" s="22"/>
      <c r="C255" s="22"/>
      <c r="D255" s="22"/>
      <c r="E255" s="22"/>
      <c r="F255" s="22"/>
      <c r="G255" s="22"/>
      <c r="H255" s="22"/>
      <c r="I255" s="22"/>
      <c r="J255" s="22"/>
      <c r="K255" s="22"/>
      <c r="L255" s="22"/>
    </row>
    <row r="1048576" spans="16373:16384">
      <c r="XES1048576" s="22" t="s">
        <v>16</v>
      </c>
      <c r="XET1048576" s="22"/>
      <c r="XEU1048576" s="22"/>
      <c r="XEV1048576" s="22"/>
      <c r="XEW1048576" s="22"/>
      <c r="XEX1048576" s="22"/>
      <c r="XEY1048576" s="22"/>
      <c r="XEZ1048576" s="22"/>
      <c r="XFA1048576" s="22"/>
      <c r="XFB1048576" s="22"/>
      <c r="XFC1048576" s="22"/>
      <c r="XFD1048576" s="22"/>
    </row>
  </sheetData>
  <sheetProtection algorithmName="SHA-512" hashValue="MxUesZ8DJinaZ/eV+cn9r1b82ImPpG6mimMz79scmB3loTWggYO9GADMORb51Zm1QWpI4DoPObGHWnOacG2qVA==" saltValue="yls3QIlQr9sUtMEHDr91kw==" spinCount="100000" sheet="1" objects="1" scenarios="1"/>
  <mergeCells count="6">
    <mergeCell ref="XES1048576:XFD1048576"/>
    <mergeCell ref="A2:M2"/>
    <mergeCell ref="P5:V5"/>
    <mergeCell ref="M110:P110"/>
    <mergeCell ref="A1:L1"/>
    <mergeCell ref="A255:L25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FD1048576"/>
  <sheetViews>
    <sheetView showGridLines="0" tabSelected="1" zoomScaleNormal="100" workbookViewId="0" xr3:uid="{F9CF3CF3-643B-5BE6-8B46-32C596A47465}">
      <selection activeCell="Q1" sqref="Q1"/>
    </sheetView>
  </sheetViews>
  <sheetFormatPr defaultRowHeight="14.45"/>
  <sheetData>
    <row r="1" spans="1:18">
      <c r="A1" s="22" t="s">
        <v>0</v>
      </c>
      <c r="B1" s="22"/>
      <c r="C1" s="22"/>
      <c r="D1" s="22"/>
      <c r="E1" s="22"/>
      <c r="F1" s="22"/>
      <c r="G1" s="22"/>
      <c r="H1" s="22"/>
      <c r="I1" s="22"/>
      <c r="J1" s="22"/>
      <c r="K1" s="22"/>
      <c r="L1" s="22"/>
    </row>
    <row r="2" spans="1:18" ht="18" customHeight="1">
      <c r="A2" s="33" t="s">
        <v>98</v>
      </c>
      <c r="B2" s="33"/>
      <c r="C2" s="33"/>
      <c r="D2" s="33"/>
      <c r="E2" s="33"/>
      <c r="F2" s="33"/>
      <c r="G2" s="33"/>
      <c r="H2" s="33"/>
      <c r="I2" s="33"/>
      <c r="J2" s="33"/>
      <c r="K2" s="33"/>
    </row>
    <row r="3" spans="1:18" ht="14.45" customHeight="1">
      <c r="A3" s="33"/>
      <c r="B3" s="33"/>
      <c r="C3" s="33"/>
      <c r="D3" s="33"/>
      <c r="E3" s="33"/>
      <c r="F3" s="33"/>
      <c r="G3" s="33"/>
      <c r="H3" s="33"/>
      <c r="I3" s="33"/>
      <c r="J3" s="33"/>
      <c r="K3" s="33"/>
    </row>
    <row r="4" spans="1:18" ht="14.45" customHeight="1">
      <c r="A4" s="33"/>
      <c r="B4" s="33"/>
      <c r="C4" s="33"/>
      <c r="D4" s="33"/>
      <c r="E4" s="33"/>
      <c r="F4" s="33"/>
      <c r="G4" s="33"/>
      <c r="H4" s="33"/>
      <c r="I4" s="33"/>
      <c r="J4" s="33"/>
      <c r="K4" s="33"/>
    </row>
    <row r="5" spans="1:18" ht="14.45" customHeight="1">
      <c r="A5" s="21"/>
      <c r="B5" s="21"/>
      <c r="C5" s="21"/>
      <c r="D5" s="21"/>
      <c r="E5" s="21"/>
      <c r="F5" s="21"/>
      <c r="G5" s="21"/>
      <c r="H5" s="21"/>
      <c r="I5" s="21"/>
      <c r="J5" s="21"/>
      <c r="K5" s="21"/>
    </row>
    <row r="6" spans="1:18" ht="14.45" customHeight="1">
      <c r="A6" s="34" t="s">
        <v>99</v>
      </c>
      <c r="B6" s="34"/>
      <c r="C6" s="34"/>
      <c r="D6" s="34"/>
      <c r="E6" s="34"/>
      <c r="F6" s="34"/>
      <c r="G6" s="34"/>
      <c r="H6" s="34"/>
      <c r="I6" s="34"/>
      <c r="J6" s="34"/>
      <c r="K6" s="34"/>
      <c r="L6" s="34"/>
      <c r="M6" s="34"/>
      <c r="N6" s="20"/>
      <c r="O6" s="20"/>
      <c r="P6" s="20"/>
      <c r="Q6" s="20"/>
      <c r="R6" s="20"/>
    </row>
    <row r="7" spans="1:18" ht="14.45" customHeight="1">
      <c r="A7" s="34"/>
      <c r="B7" s="34"/>
      <c r="C7" s="34"/>
      <c r="D7" s="34"/>
      <c r="E7" s="34"/>
      <c r="F7" s="34"/>
      <c r="G7" s="34"/>
      <c r="H7" s="34"/>
      <c r="I7" s="34"/>
      <c r="J7" s="34"/>
      <c r="K7" s="34"/>
      <c r="L7" s="34"/>
      <c r="M7" s="34"/>
      <c r="N7" s="20"/>
      <c r="O7" s="20"/>
      <c r="P7" s="20"/>
      <c r="Q7" s="20"/>
      <c r="R7" s="20"/>
    </row>
    <row r="8" spans="1:18" ht="15.6">
      <c r="A8" s="32" t="s">
        <v>100</v>
      </c>
      <c r="B8" s="32"/>
      <c r="C8" s="32"/>
      <c r="D8" s="32"/>
      <c r="E8" s="32"/>
      <c r="F8" s="32"/>
      <c r="G8" s="32"/>
      <c r="H8" s="32"/>
      <c r="I8" s="32"/>
      <c r="J8" s="32"/>
      <c r="K8" s="32"/>
      <c r="L8" s="32"/>
      <c r="M8" s="20"/>
    </row>
    <row r="9" spans="1:18">
      <c r="A9" s="32" t="s">
        <v>101</v>
      </c>
      <c r="B9" s="32"/>
      <c r="C9" s="32"/>
      <c r="D9" s="32"/>
      <c r="E9" s="32"/>
      <c r="F9" s="32"/>
      <c r="G9" s="32"/>
      <c r="H9" s="32"/>
      <c r="I9" s="32"/>
      <c r="J9" s="32"/>
      <c r="K9" s="32"/>
      <c r="L9" s="32"/>
      <c r="M9" s="20"/>
    </row>
    <row r="12" spans="1:18">
      <c r="A12" s="31" t="s">
        <v>102</v>
      </c>
      <c r="B12" s="31"/>
      <c r="C12" s="31"/>
      <c r="D12" s="31"/>
      <c r="E12" s="31"/>
      <c r="F12" s="31"/>
      <c r="G12" s="31"/>
      <c r="H12" s="31"/>
      <c r="I12" s="31"/>
      <c r="J12" s="31"/>
      <c r="K12" s="31"/>
      <c r="L12" s="31"/>
    </row>
    <row r="13" spans="1:18">
      <c r="A13" s="31"/>
      <c r="B13" s="31"/>
      <c r="C13" s="31"/>
      <c r="D13" s="31"/>
      <c r="E13" s="31"/>
      <c r="F13" s="31"/>
      <c r="G13" s="31"/>
      <c r="H13" s="31"/>
      <c r="I13" s="31"/>
      <c r="J13" s="31"/>
      <c r="K13" s="31"/>
      <c r="L13" s="31"/>
    </row>
    <row r="14" spans="1:18">
      <c r="A14" s="31"/>
      <c r="B14" s="31"/>
      <c r="C14" s="31"/>
      <c r="D14" s="31"/>
      <c r="E14" s="31"/>
      <c r="F14" s="31"/>
      <c r="G14" s="31"/>
      <c r="H14" s="31"/>
      <c r="I14" s="31"/>
      <c r="J14" s="31"/>
      <c r="K14" s="31"/>
      <c r="L14" s="31"/>
    </row>
    <row r="15" spans="1:18">
      <c r="A15" s="31"/>
      <c r="B15" s="31"/>
      <c r="C15" s="31"/>
      <c r="D15" s="31"/>
      <c r="E15" s="31"/>
      <c r="F15" s="31"/>
      <c r="G15" s="31"/>
      <c r="H15" s="31"/>
      <c r="I15" s="31"/>
      <c r="J15" s="31"/>
      <c r="K15" s="31"/>
      <c r="L15" s="31"/>
    </row>
    <row r="16" spans="1:18">
      <c r="A16" s="31"/>
      <c r="B16" s="31"/>
      <c r="C16" s="31"/>
      <c r="D16" s="31"/>
      <c r="E16" s="31"/>
      <c r="F16" s="31"/>
      <c r="G16" s="31"/>
      <c r="H16" s="31"/>
      <c r="I16" s="31"/>
      <c r="J16" s="31"/>
      <c r="K16" s="31"/>
      <c r="L16" s="31"/>
    </row>
    <row r="23" spans="1:12">
      <c r="A23" s="22"/>
      <c r="B23" s="22"/>
      <c r="C23" s="22"/>
      <c r="D23" s="22"/>
      <c r="E23" s="22"/>
      <c r="F23" s="22"/>
      <c r="G23" s="22"/>
      <c r="H23" s="22"/>
      <c r="I23" s="22"/>
      <c r="J23" s="22"/>
      <c r="K23" s="22"/>
      <c r="L23" s="22"/>
    </row>
    <row r="1048576" spans="16373:16384">
      <c r="XES1048576" s="22" t="s">
        <v>16</v>
      </c>
      <c r="XET1048576" s="22"/>
      <c r="XEU1048576" s="22"/>
      <c r="XEV1048576" s="22"/>
      <c r="XEW1048576" s="22"/>
      <c r="XEX1048576" s="22"/>
      <c r="XEY1048576" s="22"/>
      <c r="XEZ1048576" s="22"/>
      <c r="XFA1048576" s="22"/>
      <c r="XFB1048576" s="22"/>
      <c r="XFC1048576" s="22"/>
      <c r="XFD1048576" s="22"/>
    </row>
  </sheetData>
  <sheetProtection algorithmName="SHA-512" hashValue="K6QwtLIgupxEp26wVdS8mtVSsJkeuXyFelyzYvd3Izv/FHgxTP8imQy4PCdeGFK/tIktyQUcgqFmmZUAjbeK0A==" saltValue="8vq3/SXwM4PgHAHx824PxQ==" spinCount="100000" sheet="1" objects="1" scenarios="1"/>
  <mergeCells count="8">
    <mergeCell ref="A1:L1"/>
    <mergeCell ref="A23:L23"/>
    <mergeCell ref="XES1048576:XFD1048576"/>
    <mergeCell ref="A12:L16"/>
    <mergeCell ref="A8:L8"/>
    <mergeCell ref="A9:L9"/>
    <mergeCell ref="A2:K4"/>
    <mergeCell ref="A6:M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Adish</dc:creator>
  <cp:keywords/>
  <dc:description/>
  <cp:lastModifiedBy>ADISH JAIN</cp:lastModifiedBy>
  <cp:revision/>
  <dcterms:created xsi:type="dcterms:W3CDTF">2017-02-03T15:54:51Z</dcterms:created>
  <dcterms:modified xsi:type="dcterms:W3CDTF">2017-06-16T10:06:05Z</dcterms:modified>
  <cp:category/>
  <cp:contentStatus/>
</cp:coreProperties>
</file>